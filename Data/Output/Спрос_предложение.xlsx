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8" activeTab="10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ACC" sheetId="12" r:id="rId9"/>
    <sheet name="Econ" sheetId="13" r:id="rId10"/>
    <sheet name="Klad" sheetId="11" r:id="rId1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3" l="1"/>
  <c r="D3" i="13"/>
  <c r="D4" i="13"/>
  <c r="D5" i="13"/>
  <c r="D6" i="13"/>
  <c r="D7" i="13"/>
  <c r="D8" i="13"/>
  <c r="D9" i="13"/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2" i="11" l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A2" i="13" l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2" i="12" l="1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2" i="11" l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</calcChain>
</file>

<file path=xl/sharedStrings.xml><?xml version="1.0" encoding="utf-8"?>
<sst xmlns="http://schemas.openxmlformats.org/spreadsheetml/2006/main" count="934" uniqueCount="742">
  <si>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</si>
  <si>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</si>
  <si>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</si>
  <si>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</si>
  <si>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</si>
  <si>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</si>
  <si>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</si>
  <si>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</si>
  <si>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</si>
  <si>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</si>
  <si>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</si>
  <si>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</si>
  <si>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</si>
  <si>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</si>
  <si>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</si>
  <si>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</si>
  <si>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</si>
  <si>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</si>
  <si>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</si>
  <si>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</si>
  <si>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</si>
  <si>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</si>
  <si>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</si>
  <si>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</si>
  <si>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</si>
  <si>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</si>
  <si>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</si>
  <si>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</si>
  <si>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</si>
  <si>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</si>
  <si>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</si>
  <si>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</si>
  <si>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</si>
  <si>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</si>
  <si>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</si>
  <si>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</si>
  <si>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</si>
  <si>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</si>
  <si>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</si>
  <si>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</si>
  <si>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</si>
  <si>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</si>
  <si>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</si>
  <si>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</si>
  <si>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</si>
  <si>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</si>
  <si>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</si>
  <si>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</si>
  <si>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</si>
  <si>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</si>
  <si>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</si>
  <si>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</si>
  <si>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</si>
  <si>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</si>
  <si>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</si>
  <si>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</si>
  <si>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</si>
  <si>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</si>
  <si>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</si>
  <si>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</si>
  <si>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</si>
  <si>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</si>
  <si>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</si>
  <si>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</si>
  <si>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</si>
  <si>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</si>
  <si>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</si>
  <si>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</si>
  <si>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</si>
  <si>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</si>
  <si>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</si>
  <si>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</si>
  <si>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</si>
  <si>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</si>
  <si>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</si>
  <si>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</si>
  <si>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</si>
  <si>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</si>
  <si>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</si>
  <si>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</si>
  <si>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</si>
  <si>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</si>
  <si>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</si>
  <si>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</si>
  <si>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</si>
  <si>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</si>
  <si>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</si>
  <si>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</si>
  <si>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</si>
  <si>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</si>
  <si>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</si>
  <si>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</si>
  <si>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</si>
  <si>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</si>
  <si>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</si>
  <si>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</si>
  <si>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</si>
  <si>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</si>
  <si>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</si>
  <si>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</si>
  <si>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</si>
  <si>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</si>
  <si>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</si>
  <si>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</si>
  <si>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</si>
  <si>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</si>
  <si>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</si>
  <si>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</si>
  <si>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</si>
  <si>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</si>
  <si>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</si>
  <si>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</si>
  <si>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</si>
  <si>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</si>
  <si>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</si>
  <si>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</si>
  <si>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</si>
  <si>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</si>
  <si>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</si>
  <si>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</si>
  <si>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</si>
  <si>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</si>
  <si>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</si>
  <si>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</si>
  <si>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</si>
  <si>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</si>
  <si>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</si>
  <si>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</si>
  <si>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</si>
  <si>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</si>
  <si>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</si>
  <si>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</si>
  <si>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</si>
  <si>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</si>
  <si>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</si>
  <si>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</si>
  <si>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</si>
  <si>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</si>
  <si>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</si>
  <si>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</si>
  <si>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</si>
  <si>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</si>
  <si>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</si>
  <si>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</si>
  <si>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</si>
  <si>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</si>
  <si>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</si>
  <si>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</si>
  <si>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</si>
  <si>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</si>
  <si>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</si>
  <si>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</si>
  <si>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</si>
  <si>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</si>
  <si>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</si>
  <si>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</si>
  <si>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</si>
  <si>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</si>
  <si>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</si>
  <si>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</si>
  <si>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</si>
  <si>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</si>
  <si>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</si>
  <si>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</si>
  <si>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</si>
  <si>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</si>
  <si>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</si>
  <si>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</si>
  <si>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</si>
  <si>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</si>
  <si>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</si>
  <si>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</si>
  <si>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</si>
  <si>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</si>
  <si>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</si>
  <si>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</si>
  <si>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</si>
  <si>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</si>
  <si>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</si>
  <si>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</si>
  <si>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</si>
  <si>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</si>
  <si>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</si>
  <si>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</si>
  <si>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</si>
  <si>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</si>
  <si>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</si>
  <si>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</si>
  <si>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</si>
  <si>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</si>
  <si>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</si>
  <si>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</si>
  <si>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</si>
  <si>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</si>
  <si>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</si>
  <si>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</si>
  <si>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</si>
  <si>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</si>
  <si>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</si>
  <si>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</si>
  <si>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</si>
  <si>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</si>
  <si>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</si>
  <si>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</si>
  <si>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</si>
  <si>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</si>
  <si>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</si>
  <si>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</si>
  <si>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</si>
  <si>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</si>
  <si>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</si>
  <si>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</si>
  <si>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</si>
  <si>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</si>
  <si>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</si>
  <si>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</si>
  <si>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</si>
  <si>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</si>
  <si>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</si>
  <si>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</si>
  <si>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</si>
  <si>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</si>
  <si>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</si>
  <si>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</si>
  <si>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</si>
  <si>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</si>
  <si>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</si>
  <si>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</si>
  <si>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</si>
  <si>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</si>
  <si>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</si>
  <si>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</si>
  <si>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</si>
  <si>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</si>
  <si>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</si>
  <si>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</si>
  <si>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</si>
  <si>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</si>
  <si>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</si>
  <si>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</si>
  <si>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</si>
  <si>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</si>
  <si>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</si>
  <si>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</si>
  <si>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</si>
  <si>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</si>
  <si>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</si>
  <si>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</si>
  <si>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</si>
  <si>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</si>
  <si>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</si>
  <si>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</si>
  <si>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</si>
  <si>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</si>
  <si>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</si>
  <si>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</si>
  <si>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</si>
  <si>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</si>
  <si>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</si>
  <si>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</si>
  <si>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</si>
  <si>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</si>
  <si>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</si>
  <si>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</si>
  <si>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</si>
  <si>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</si>
  <si>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</si>
  <si>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</si>
  <si>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</si>
  <si>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</si>
  <si>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</si>
  <si>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</si>
  <si>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</si>
  <si>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</si>
  <si>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</si>
  <si>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</si>
  <si>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</si>
  <si>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</si>
  <si>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</si>
  <si>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</si>
  <si>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</si>
  <si>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</si>
  <si>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</si>
  <si>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</si>
  <si>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</si>
  <si>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</si>
  <si>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</si>
  <si>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</si>
  <si>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</si>
  <si>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</si>
  <si>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</si>
  <si>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</si>
  <si>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</si>
  <si>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</si>
  <si>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</si>
  <si>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</si>
  <si>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</si>
  <si>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</si>
  <si>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</si>
  <si>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</si>
  <si>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</si>
  <si>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</si>
  <si>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</si>
  <si>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</si>
  <si>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</si>
  <si>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</si>
  <si>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</si>
  <si>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</si>
  <si>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</si>
  <si>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</si>
  <si>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</si>
  <si>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</si>
  <si>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</si>
  <si>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</si>
  <si>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</si>
  <si>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</si>
  <si>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</si>
  <si>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</si>
  <si>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</si>
  <si>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</si>
  <si>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</si>
  <si>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</si>
  <si>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</si>
  <si>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</si>
  <si>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</si>
  <si>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</si>
  <si>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</si>
  <si>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</si>
  <si>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</si>
  <si>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</si>
  <si>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</si>
  <si>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</si>
  <si>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</si>
  <si>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</si>
  <si>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</si>
  <si>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</si>
  <si>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</si>
  <si>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</si>
  <si>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</si>
  <si>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</si>
  <si>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</si>
  <si>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</si>
  <si>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</si>
  <si>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</si>
  <si>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</si>
  <si>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</si>
  <si>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</si>
  <si>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</si>
  <si>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</si>
  <si>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</si>
  <si>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</si>
  <si>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</si>
  <si>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</si>
  <si>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</si>
  <si>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</si>
  <si>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</si>
  <si>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</si>
  <si>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</si>
  <si>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</si>
  <si>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</si>
  <si>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</si>
  <si>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</si>
  <si>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</si>
  <si>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</si>
  <si>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</si>
  <si>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</si>
  <si>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</si>
  <si>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</si>
  <si>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</si>
  <si>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</si>
  <si>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</si>
  <si>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</si>
  <si>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</si>
  <si>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</si>
  <si>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</si>
  <si>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</si>
  <si>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</si>
  <si>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</si>
  <si>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</si>
  <si>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</si>
  <si>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</si>
  <si>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</si>
  <si>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</si>
  <si>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</si>
  <si>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</si>
  <si>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</si>
  <si>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</si>
  <si>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</si>
  <si>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</si>
  <si>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</si>
  <si>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</si>
  <si>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</si>
  <si>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</si>
  <si>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</si>
  <si>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</si>
  <si>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</si>
  <si>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</si>
  <si>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</si>
  <si>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</si>
  <si>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</si>
  <si>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</si>
  <si>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</si>
  <si>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</si>
  <si>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</si>
  <si>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</si>
  <si>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</si>
  <si>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</si>
  <si>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</si>
  <si>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</si>
  <si>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</si>
  <si>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</si>
  <si>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</si>
  <si>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</si>
  <si>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</si>
  <si>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</si>
  <si>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</si>
  <si>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</si>
  <si>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</si>
  <si>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</si>
  <si>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</si>
  <si>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</si>
  <si>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</si>
  <si>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</si>
  <si>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</si>
  <si>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</si>
  <si>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</si>
  <si>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</si>
  <si>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</si>
  <si>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</si>
  <si>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</si>
  <si>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</si>
  <si>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</si>
  <si>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</si>
  <si>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</si>
  <si>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</si>
  <si>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</si>
  <si>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</si>
  <si>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</si>
  <si>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</si>
  <si>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</si>
  <si>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</si>
  <si>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</si>
  <si>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</si>
  <si>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</si>
  <si>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</si>
  <si>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</si>
  <si>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</si>
  <si>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</si>
  <si>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</si>
  <si>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</si>
  <si>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</si>
  <si>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</si>
  <si>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</si>
  <si>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</si>
  <si>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</si>
  <si>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</si>
  <si>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</si>
  <si>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</si>
  <si>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</si>
  <si>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</si>
  <si>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</si>
  <si>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</si>
  <si>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</si>
  <si>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</si>
  <si>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</si>
  <si>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</si>
  <si>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</si>
  <si>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</si>
  <si>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</si>
  <si>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</si>
  <si>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</si>
  <si>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</si>
  <si>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</si>
  <si>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</si>
  <si>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</si>
  <si>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</si>
  <si>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</si>
  <si>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</si>
  <si>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</si>
  <si>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</si>
  <si>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</si>
  <si>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</si>
  <si>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</si>
  <si>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</si>
  <si>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</si>
  <si>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</si>
  <si>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</si>
  <si>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</si>
  <si>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</si>
  <si>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</si>
  <si>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</si>
  <si>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</si>
  <si>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</si>
  <si>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</si>
  <si>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</si>
  <si>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</si>
  <si>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</si>
  <si>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</si>
  <si>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</si>
  <si>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</si>
  <si>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</si>
  <si>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</si>
  <si>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</si>
  <si>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</si>
  <si>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</si>
  <si>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</si>
  <si>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</si>
  <si>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</si>
  <si>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</si>
  <si>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</si>
  <si>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</si>
  <si>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</si>
  <si>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</si>
  <si>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</si>
  <si>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</si>
  <si>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</si>
  <si>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</si>
  <si>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</si>
  <si>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</si>
  <si>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</si>
  <si>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</si>
  <si>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</si>
  <si>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</si>
  <si>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</si>
  <si>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</si>
  <si>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</si>
  <si>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</si>
  <si>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</si>
  <si>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</si>
  <si>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</si>
  <si>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</si>
  <si>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</si>
  <si>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</si>
  <si>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</si>
  <si>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</si>
  <si>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</si>
  <si>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</si>
  <si>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</si>
  <si>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</si>
  <si>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</si>
  <si>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</si>
  <si>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</si>
  <si>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</si>
  <si>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</si>
  <si>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</si>
  <si>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</si>
  <si>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</si>
  <si>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</si>
  <si>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</si>
  <si>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</si>
  <si>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</si>
  <si>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</si>
  <si>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</si>
  <si>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</si>
  <si>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</si>
  <si>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</si>
  <si>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</si>
  <si>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</si>
  <si>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</si>
  <si>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</si>
  <si>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</si>
  <si>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</si>
  <si>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</si>
  <si>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</si>
  <si>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</si>
  <si>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</si>
  <si>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</si>
  <si>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</si>
  <si>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</si>
  <si>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</si>
  <si>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</si>
  <si>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</si>
  <si>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</si>
  <si>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</si>
  <si>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</si>
  <si>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</si>
  <si>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</si>
  <si>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</si>
  <si>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</si>
  <si>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</si>
  <si>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</si>
  <si>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</si>
  <si>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</si>
  <si>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</si>
  <si>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</si>
  <si>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</si>
  <si>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</si>
  <si>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</si>
  <si>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</si>
  <si>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</si>
  <si>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</si>
  <si>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</si>
  <si>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</si>
  <si>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</si>
  <si>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</si>
  <si>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</si>
  <si>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</si>
  <si>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</si>
  <si>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</si>
  <si>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</si>
  <si>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</si>
  <si>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</si>
  <si>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</si>
  <si>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</si>
  <si>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</si>
  <si>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</si>
  <si>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</si>
  <si>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</si>
  <si>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</si>
  <si>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</si>
  <si>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</si>
  <si>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</si>
  <si>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</si>
  <si>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</si>
  <si>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</si>
  <si>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</si>
  <si>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</si>
  <si>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</si>
  <si>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</si>
  <si>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</si>
  <si>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</si>
  <si>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</si>
  <si>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</si>
  <si>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</si>
  <si>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</si>
  <si>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</si>
  <si>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</si>
  <si>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</si>
  <si>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</si>
  <si>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</si>
  <si>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</si>
  <si>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</si>
  <si>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</si>
  <si>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</si>
  <si>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</si>
  <si>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</si>
  <si>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</si>
  <si>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</si>
  <si>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</si>
  <si>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</si>
  <si>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</si>
  <si>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</si>
  <si>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</si>
  <si>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</si>
  <si>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</si>
  <si>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</si>
  <si>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</si>
  <si>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</si>
  <si>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</si>
  <si>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</si>
  <si>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</si>
  <si>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</si>
  <si>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</si>
  <si>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</si>
  <si>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</si>
  <si>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</si>
  <si>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</si>
  <si>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</si>
  <si>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</si>
  <si>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</si>
  <si>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</si>
  <si>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</si>
  <si>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</si>
  <si>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</si>
  <si>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</si>
  <si>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</si>
  <si>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</si>
  <si>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</si>
  <si>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</si>
  <si>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</si>
  <si>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</si>
  <si>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</si>
  <si>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</si>
  <si>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</si>
  <si>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</si>
  <si>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</si>
  <si>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</si>
  <si>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</si>
  <si>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</si>
  <si>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</si>
  <si>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</si>
  <si>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</si>
  <si>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</si>
  <si>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</si>
  <si>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</si>
  <si>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</si>
  <si>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</si>
  <si>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</si>
  <si>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</si>
  <si>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</si>
  <si>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</si>
  <si>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</si>
  <si>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</si>
  <si>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</si>
  <si>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</si>
  <si>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</si>
  <si>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</si>
  <si>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</si>
  <si>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</si>
  <si>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</si>
  <si>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</si>
  <si>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</si>
  <si>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</si>
  <si>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</si>
  <si>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</si>
  <si>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</si>
  <si>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</si>
  <si>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</si>
  <si>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</si>
  <si>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Спрос</t>
  </si>
  <si>
    <t>Предложение</t>
  </si>
  <si>
    <t>от 1 800 бел. руб.</t>
  </si>
  <si>
    <t>800 – 1 200 бел. руб.</t>
  </si>
  <si>
    <t>700 – 755 бел. руб.</t>
  </si>
  <si>
    <t>800 – 800 бел. руб.</t>
  </si>
  <si>
    <t>от 800 бел. руб.</t>
  </si>
  <si>
    <t>от 700 бел. руб.</t>
  </si>
  <si>
    <t>от 680 бел. руб.</t>
  </si>
  <si>
    <t>от 810 бел. руб.</t>
  </si>
  <si>
    <t>от 1 200 бел. руб.</t>
  </si>
  <si>
    <t>от 2 000 бел. руб.</t>
  </si>
  <si>
    <t>от 850 бел. руб.</t>
  </si>
  <si>
    <t>от 900 бел. руб.</t>
  </si>
  <si>
    <t>от 870 бел. руб.</t>
  </si>
  <si>
    <t>430 – 450 бел. руб.</t>
  </si>
  <si>
    <t>от 600 бел. руб.</t>
  </si>
  <si>
    <t>от 750 бел. руб.</t>
  </si>
  <si>
    <t>от 872 бел. руб.</t>
  </si>
  <si>
    <t>от 500 бел. руб.</t>
  </si>
  <si>
    <t>650 – 900 бел. руб.</t>
  </si>
  <si>
    <t>от 1 050 бел. руб.</t>
  </si>
  <si>
    <t>1 000 – 1 000 бел. руб.</t>
  </si>
  <si>
    <t>800 – 850 бел. руб.</t>
  </si>
  <si>
    <t>800 – 1 000 бел. руб.</t>
  </si>
  <si>
    <t>от 1 000 бел. руб.</t>
  </si>
  <si>
    <t>от 1 500 бел. руб.</t>
  </si>
  <si>
    <t>от 1 400 бел. руб.</t>
  </si>
  <si>
    <t>1 400 – 1 400 бел. руб.</t>
  </si>
  <si>
    <t>650 – 650 бел. руб.</t>
  </si>
  <si>
    <t>от 895 бел. руб.</t>
  </si>
  <si>
    <t>850 – 950 бел. руб.</t>
  </si>
  <si>
    <t>от 1 100 бел. 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</si>
</sst>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u/>
      <sz val="11"/>
      <color theme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3"/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 x14ac:dyDescent="0.25"/>
  <cols>
    <col min="1" max="1" width="29.140625" customWidth="1"/>
    <col min="2" max="2" width="58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x14ac:dyDescent="0.25">
      <c r="A2" s="1" t="s">
        <v>19</v>
      </c>
      <c r="B2" s="1" t="s">
        <v>20</v>
      </c>
      <c r="C2" s="1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>
        <v>1</v>
      </c>
    </row>
    <row r="3" spans="1:19" x14ac:dyDescent="0.25">
      <c r="A3" s="4"/>
      <c r="B3" s="5" t="s">
        <v>21</v>
      </c>
      <c r="C3" s="6">
        <v>1</v>
      </c>
      <c r="D3" s="7">
        <v>1</v>
      </c>
      <c r="E3" s="7">
        <v>0.5</v>
      </c>
      <c r="F3" s="7">
        <v>1</v>
      </c>
      <c r="G3" s="7">
        <v>1</v>
      </c>
      <c r="H3" s="7">
        <v>1</v>
      </c>
      <c r="I3" s="7"/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8">
        <v>10.5</v>
      </c>
    </row>
    <row r="4" spans="1:19" x14ac:dyDescent="0.25">
      <c r="A4" s="4"/>
      <c r="B4" s="6" t="s">
        <v>22</v>
      </c>
      <c r="C4" s="6">
        <v>1</v>
      </c>
      <c r="D4" s="7"/>
      <c r="E4" s="7"/>
      <c r="F4" s="7">
        <v>1</v>
      </c>
      <c r="G4" s="7"/>
      <c r="H4" s="7">
        <v>2</v>
      </c>
      <c r="I4" s="7"/>
      <c r="J4" s="7">
        <v>1</v>
      </c>
      <c r="K4" s="7"/>
      <c r="L4" s="7"/>
      <c r="M4" s="7"/>
      <c r="N4" s="7"/>
      <c r="O4" s="7"/>
      <c r="P4" s="7">
        <v>1</v>
      </c>
      <c r="Q4" s="7"/>
      <c r="R4" s="7">
        <v>1</v>
      </c>
      <c r="S4" s="8">
        <v>7</v>
      </c>
    </row>
    <row r="5" spans="1:19" x14ac:dyDescent="0.25">
      <c r="A5" s="4"/>
      <c r="B5" s="6" t="s">
        <v>23</v>
      </c>
      <c r="C5" s="6">
        <v>1</v>
      </c>
      <c r="D5" s="7"/>
      <c r="E5" s="7">
        <v>0.5</v>
      </c>
      <c r="F5" s="7">
        <v>1</v>
      </c>
      <c r="G5" s="7">
        <v>1</v>
      </c>
      <c r="H5" s="7">
        <v>1</v>
      </c>
      <c r="I5" s="7">
        <v>1</v>
      </c>
      <c r="J5" s="7"/>
      <c r="K5" s="7">
        <v>1</v>
      </c>
      <c r="L5" s="7"/>
      <c r="M5" s="7"/>
      <c r="N5" s="7">
        <v>1</v>
      </c>
      <c r="O5" s="7"/>
      <c r="P5" s="7">
        <v>1</v>
      </c>
      <c r="Q5" s="7"/>
      <c r="R5" s="7"/>
      <c r="S5" s="8">
        <v>8.5</v>
      </c>
    </row>
    <row r="6" spans="1:19" x14ac:dyDescent="0.25">
      <c r="A6" s="4"/>
      <c r="B6" s="6" t="s">
        <v>24</v>
      </c>
      <c r="C6" s="6"/>
      <c r="D6" s="7"/>
      <c r="E6" s="7"/>
      <c r="F6" s="7"/>
      <c r="G6" s="7"/>
      <c r="H6" s="7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 x14ac:dyDescent="0.25">
      <c r="A7" s="4"/>
      <c r="B7" s="6" t="s">
        <v>25</v>
      </c>
      <c r="C7" s="6">
        <v>1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8">
        <v>2</v>
      </c>
    </row>
    <row r="8" spans="1:19" x14ac:dyDescent="0.25">
      <c r="A8" s="4"/>
      <c r="B8" s="5" t="s">
        <v>26</v>
      </c>
      <c r="C8" s="6"/>
      <c r="D8" s="7"/>
      <c r="E8" s="7">
        <v>0.75</v>
      </c>
      <c r="F8" s="7">
        <v>1</v>
      </c>
      <c r="G8" s="7"/>
      <c r="H8" s="7"/>
      <c r="I8" s="7"/>
      <c r="J8" s="7"/>
      <c r="K8" s="7"/>
      <c r="L8" s="7"/>
      <c r="M8" s="7"/>
      <c r="N8" s="7">
        <v>0.25</v>
      </c>
      <c r="O8" s="7"/>
      <c r="P8" s="7"/>
      <c r="Q8" s="7"/>
      <c r="R8" s="7">
        <v>1</v>
      </c>
      <c r="S8" s="8">
        <v>3</v>
      </c>
    </row>
    <row r="9" spans="1:19" x14ac:dyDescent="0.25">
      <c r="A9" s="4"/>
      <c r="B9" s="6" t="s">
        <v>27</v>
      </c>
      <c r="C9" s="6">
        <v>1</v>
      </c>
      <c r="D9" s="7"/>
      <c r="E9" s="7"/>
      <c r="F9" s="7">
        <v>1</v>
      </c>
      <c r="G9" s="7"/>
      <c r="H9" s="7"/>
      <c r="I9" s="7">
        <v>1</v>
      </c>
      <c r="J9" s="7"/>
      <c r="K9" s="7"/>
      <c r="L9" s="7"/>
      <c r="M9" s="7"/>
      <c r="N9" s="7"/>
      <c r="O9" s="7"/>
      <c r="P9" s="7"/>
      <c r="Q9" s="7"/>
      <c r="R9" s="7">
        <v>1</v>
      </c>
      <c r="S9" s="8">
        <v>4</v>
      </c>
    </row>
    <row r="10" spans="1:19" x14ac:dyDescent="0.25">
      <c r="A10" s="4"/>
      <c r="B10" s="5" t="s">
        <v>28</v>
      </c>
      <c r="C10" s="6">
        <v>1</v>
      </c>
      <c r="D10" s="7"/>
      <c r="E10" s="7">
        <v>1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8">
        <v>3</v>
      </c>
    </row>
    <row r="11" spans="1:19" x14ac:dyDescent="0.25">
      <c r="A11" s="4"/>
      <c r="B11" s="6" t="s">
        <v>29</v>
      </c>
      <c r="C11" s="6">
        <v>1</v>
      </c>
      <c r="D11" s="7">
        <v>1</v>
      </c>
      <c r="E11" s="7">
        <v>0.25</v>
      </c>
      <c r="F11" s="7">
        <v>1</v>
      </c>
      <c r="G11" s="7">
        <v>1</v>
      </c>
      <c r="H11" s="7"/>
      <c r="I11" s="7"/>
      <c r="J11" s="7"/>
      <c r="K11" s="7">
        <v>1</v>
      </c>
      <c r="L11" s="7"/>
      <c r="M11" s="7"/>
      <c r="N11" s="7">
        <v>0.75</v>
      </c>
      <c r="O11" s="7"/>
      <c r="P11" s="7">
        <v>1</v>
      </c>
      <c r="Q11" s="7"/>
      <c r="R11" s="7">
        <v>1</v>
      </c>
      <c r="S11" s="8">
        <v>8</v>
      </c>
    </row>
    <row r="12" spans="1:19" x14ac:dyDescent="0.25">
      <c r="A12" s="4"/>
      <c r="B12" s="5" t="s">
        <v>30</v>
      </c>
      <c r="C12" s="6"/>
      <c r="D12" s="7"/>
      <c r="E12" s="7"/>
      <c r="F12" s="7"/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</v>
      </c>
    </row>
    <row r="13" spans="1:19" x14ac:dyDescent="0.25">
      <c r="A13" s="4"/>
      <c r="B13" s="6" t="s">
        <v>31</v>
      </c>
      <c r="C13" s="6"/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8">
        <v>1</v>
      </c>
    </row>
    <row r="14" spans="1:19" x14ac:dyDescent="0.25">
      <c r="A14" s="4"/>
      <c r="B14" s="6" t="s">
        <v>32</v>
      </c>
      <c r="C14" s="6"/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1</v>
      </c>
    </row>
    <row r="15" spans="1:19" x14ac:dyDescent="0.25">
      <c r="A15" s="4"/>
      <c r="B15" s="5" t="s">
        <v>33</v>
      </c>
      <c r="C15" s="6"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1</v>
      </c>
    </row>
    <row r="16" spans="1:19" x14ac:dyDescent="0.25">
      <c r="A16" s="4"/>
      <c r="B16" s="6" t="s">
        <v>34</v>
      </c>
      <c r="C16" s="6">
        <v>1</v>
      </c>
      <c r="D16" s="7">
        <v>1</v>
      </c>
      <c r="E16" s="7"/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3</v>
      </c>
    </row>
    <row r="17" spans="1:19" x14ac:dyDescent="0.25">
      <c r="A17" s="4"/>
      <c r="B17" s="6" t="s">
        <v>35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>
        <v>12.5</v>
      </c>
      <c r="R17" s="7"/>
      <c r="S17" s="8">
        <v>13.5</v>
      </c>
    </row>
    <row r="18" spans="1:19" x14ac:dyDescent="0.25">
      <c r="A18" s="4"/>
      <c r="B18" s="5" t="s">
        <v>36</v>
      </c>
      <c r="C18" s="6"/>
      <c r="D18" s="7">
        <v>1</v>
      </c>
      <c r="E18" s="7"/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>
        <v>2</v>
      </c>
    </row>
    <row r="19" spans="1:19" x14ac:dyDescent="0.25">
      <c r="A19" s="4"/>
      <c r="B19" s="6" t="s">
        <v>37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1</v>
      </c>
      <c r="P19" s="7"/>
      <c r="Q19" s="7"/>
      <c r="R19" s="7"/>
      <c r="S19" s="8">
        <v>1</v>
      </c>
    </row>
    <row r="20" spans="1:19" x14ac:dyDescent="0.25">
      <c r="A20" s="4"/>
      <c r="B20" s="6" t="s">
        <v>38</v>
      </c>
      <c r="C20" s="6"/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>
        <v>1</v>
      </c>
    </row>
    <row r="21" spans="1:19" x14ac:dyDescent="0.25">
      <c r="A21" s="4"/>
      <c r="B21" s="1" t="s">
        <v>26</v>
      </c>
      <c r="C21" s="1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</v>
      </c>
    </row>
    <row r="22" spans="1:19" x14ac:dyDescent="0.25">
      <c r="A22" s="9" t="s">
        <v>18</v>
      </c>
      <c r="B22" s="10"/>
      <c r="C22" s="9">
        <v>20</v>
      </c>
      <c r="D22" s="11">
        <v>8</v>
      </c>
      <c r="E22" s="11">
        <v>7</v>
      </c>
      <c r="F22" s="11">
        <v>9</v>
      </c>
      <c r="G22" s="11">
        <v>8.3000000000000007</v>
      </c>
      <c r="H22" s="11">
        <v>17</v>
      </c>
      <c r="I22" s="11">
        <v>2.5</v>
      </c>
      <c r="J22" s="11">
        <v>1</v>
      </c>
      <c r="K22" s="11">
        <v>4.75</v>
      </c>
      <c r="L22" s="11">
        <v>2.5</v>
      </c>
      <c r="M22" s="11">
        <v>2</v>
      </c>
      <c r="N22" s="11">
        <v>6.75</v>
      </c>
      <c r="O22" s="11">
        <v>5</v>
      </c>
      <c r="P22" s="11">
        <v>9</v>
      </c>
      <c r="Q22" s="11">
        <v>13.5</v>
      </c>
      <c r="R22" s="11">
        <v>6.5</v>
      </c>
      <c r="S22" s="12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 x14ac:dyDescent="0.25"/>
  <cols>
    <col min="1" max="1" width="25.7109375" style="7" customWidth="1"/>
    <col min="2" max="2" width="48.5703125" style="7" customWidth="1"/>
    <col min="3" max="22" width="8.5703125" style="7" customWidth="1"/>
    <col min="23" max="1024" width="14.42578125" style="7"/>
  </cols>
  <sheetData>
    <row r="1" spans="1:22" x14ac:dyDescent="0.25">
      <c r="A1" s="7" t="s">
        <v>39</v>
      </c>
      <c r="C1" s="7" t="s">
        <v>40</v>
      </c>
    </row>
    <row r="2" spans="1:22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41</v>
      </c>
      <c r="P2" s="7" t="s">
        <v>14</v>
      </c>
      <c r="Q2" s="7" t="s">
        <v>42</v>
      </c>
      <c r="R2" s="7" t="s">
        <v>15</v>
      </c>
      <c r="S2" s="7" t="s">
        <v>16</v>
      </c>
      <c r="T2" s="7" t="s">
        <v>43</v>
      </c>
      <c r="U2" s="7" t="s">
        <v>17</v>
      </c>
      <c r="V2" s="7" t="s">
        <v>18</v>
      </c>
    </row>
    <row r="3" spans="1:22" x14ac:dyDescent="0.25">
      <c r="A3" s="7" t="s">
        <v>44</v>
      </c>
      <c r="B3" s="13" t="s">
        <v>45</v>
      </c>
      <c r="M3" s="7">
        <v>6</v>
      </c>
      <c r="V3" s="7">
        <v>6</v>
      </c>
    </row>
    <row r="4" spans="1:22" x14ac:dyDescent="0.25">
      <c r="B4" s="13" t="s">
        <v>46</v>
      </c>
      <c r="C4" s="7">
        <v>23</v>
      </c>
      <c r="D4" s="7">
        <v>15</v>
      </c>
      <c r="E4" s="7">
        <v>21</v>
      </c>
      <c r="F4" s="7">
        <v>15</v>
      </c>
      <c r="G4" s="7">
        <v>3</v>
      </c>
      <c r="H4" s="7">
        <v>42</v>
      </c>
      <c r="I4" s="7">
        <v>2</v>
      </c>
      <c r="J4" s="7">
        <v>1</v>
      </c>
      <c r="K4" s="7">
        <v>2</v>
      </c>
      <c r="L4" s="7">
        <v>18</v>
      </c>
      <c r="U4" s="7">
        <v>21</v>
      </c>
      <c r="V4" s="7">
        <v>163</v>
      </c>
    </row>
    <row r="5" spans="1:22" x14ac:dyDescent="0.25">
      <c r="B5" s="7" t="s">
        <v>47</v>
      </c>
      <c r="C5" s="7">
        <v>1</v>
      </c>
      <c r="V5" s="7">
        <v>1</v>
      </c>
    </row>
    <row r="6" spans="1:22" x14ac:dyDescent="0.25">
      <c r="B6" s="7" t="s">
        <v>32</v>
      </c>
      <c r="H6" s="7">
        <v>1</v>
      </c>
      <c r="V6" s="7">
        <v>1</v>
      </c>
    </row>
    <row r="7" spans="1:22" x14ac:dyDescent="0.25">
      <c r="B7" s="13" t="s">
        <v>48</v>
      </c>
      <c r="C7" s="7">
        <v>14</v>
      </c>
      <c r="D7" s="7">
        <v>1</v>
      </c>
      <c r="E7" s="7">
        <v>3.75</v>
      </c>
      <c r="F7" s="7">
        <v>2.5</v>
      </c>
      <c r="H7" s="7">
        <v>13</v>
      </c>
      <c r="K7" s="7">
        <v>1</v>
      </c>
      <c r="N7" s="7">
        <v>0.25</v>
      </c>
      <c r="S7" s="7">
        <v>15</v>
      </c>
      <c r="V7" s="7">
        <v>50.5</v>
      </c>
    </row>
    <row r="8" spans="1:22" x14ac:dyDescent="0.25">
      <c r="B8" s="7" t="s">
        <v>33</v>
      </c>
      <c r="E8" s="7">
        <v>1</v>
      </c>
      <c r="K8" s="7">
        <v>1</v>
      </c>
      <c r="V8" s="7">
        <v>2</v>
      </c>
    </row>
    <row r="9" spans="1:22" x14ac:dyDescent="0.25">
      <c r="B9" s="13" t="s">
        <v>49</v>
      </c>
      <c r="C9" s="7">
        <v>6</v>
      </c>
      <c r="F9" s="7">
        <v>1</v>
      </c>
      <c r="H9" s="7">
        <v>6</v>
      </c>
      <c r="S9" s="7">
        <v>5</v>
      </c>
      <c r="V9" s="7">
        <v>18</v>
      </c>
    </row>
    <row r="10" spans="1:22" x14ac:dyDescent="0.25">
      <c r="B10" s="7" t="s">
        <v>50</v>
      </c>
      <c r="C10" s="7">
        <v>1</v>
      </c>
      <c r="F10" s="7">
        <v>1</v>
      </c>
      <c r="H10" s="7">
        <v>1</v>
      </c>
      <c r="P10" s="7">
        <v>1</v>
      </c>
      <c r="V10" s="7">
        <v>4</v>
      </c>
    </row>
    <row r="11" spans="1:22" x14ac:dyDescent="0.25">
      <c r="B11" s="7" t="s">
        <v>34</v>
      </c>
      <c r="C11" s="7">
        <v>9</v>
      </c>
      <c r="D11" s="7">
        <v>1</v>
      </c>
      <c r="E11" s="7">
        <v>0.6</v>
      </c>
      <c r="H11" s="7">
        <v>6</v>
      </c>
      <c r="K11" s="7">
        <v>2</v>
      </c>
      <c r="L11" s="7">
        <v>1</v>
      </c>
      <c r="M11" s="7">
        <v>3</v>
      </c>
      <c r="N11" s="7">
        <v>3</v>
      </c>
      <c r="S11" s="7">
        <v>2</v>
      </c>
      <c r="V11" s="7">
        <v>27.6</v>
      </c>
    </row>
    <row r="12" spans="1:22" x14ac:dyDescent="0.25">
      <c r="B12" s="7" t="s">
        <v>51</v>
      </c>
      <c r="C12" s="7">
        <v>4</v>
      </c>
      <c r="H12" s="7">
        <v>4</v>
      </c>
      <c r="V12" s="7">
        <v>8</v>
      </c>
    </row>
    <row r="13" spans="1:22" x14ac:dyDescent="0.25">
      <c r="B13" s="7" t="s">
        <v>36</v>
      </c>
      <c r="C13" s="7">
        <v>9</v>
      </c>
      <c r="E13" s="7">
        <v>5.25</v>
      </c>
      <c r="F13" s="7">
        <v>1</v>
      </c>
      <c r="H13" s="7">
        <v>10.5</v>
      </c>
      <c r="I13" s="7">
        <v>1</v>
      </c>
      <c r="J13" s="7">
        <v>4</v>
      </c>
      <c r="K13" s="7">
        <v>2</v>
      </c>
      <c r="N13" s="7">
        <v>1</v>
      </c>
      <c r="R13" s="7">
        <v>1</v>
      </c>
      <c r="V13" s="7">
        <v>34.75</v>
      </c>
    </row>
    <row r="14" spans="1:22" x14ac:dyDescent="0.25">
      <c r="B14" s="7" t="s">
        <v>52</v>
      </c>
      <c r="C14" s="7">
        <v>7</v>
      </c>
      <c r="H14" s="7">
        <v>3</v>
      </c>
      <c r="V14" s="7">
        <v>10</v>
      </c>
    </row>
    <row r="15" spans="1:22" x14ac:dyDescent="0.25">
      <c r="B15" s="7" t="s">
        <v>53</v>
      </c>
      <c r="P15" s="7">
        <v>1</v>
      </c>
      <c r="V15" s="7">
        <v>1</v>
      </c>
    </row>
    <row r="16" spans="1:22" x14ac:dyDescent="0.25">
      <c r="B16" s="7" t="s">
        <v>54</v>
      </c>
      <c r="P16" s="7">
        <v>1</v>
      </c>
      <c r="V16" s="7">
        <v>1</v>
      </c>
    </row>
    <row r="17" spans="1:22" x14ac:dyDescent="0.25">
      <c r="B17" s="7" t="s">
        <v>55</v>
      </c>
      <c r="H17" s="7">
        <v>0.5</v>
      </c>
      <c r="V17" s="7">
        <v>0.5</v>
      </c>
    </row>
    <row r="18" spans="1:22" x14ac:dyDescent="0.25">
      <c r="B18" s="7" t="s">
        <v>56</v>
      </c>
      <c r="E18" s="7">
        <v>0.1</v>
      </c>
      <c r="V18" s="7">
        <v>0.1</v>
      </c>
    </row>
    <row r="19" spans="1:22" x14ac:dyDescent="0.25">
      <c r="B19" s="7" t="s">
        <v>57</v>
      </c>
      <c r="P19" s="7">
        <v>2</v>
      </c>
      <c r="V19" s="7">
        <v>2</v>
      </c>
    </row>
    <row r="20" spans="1:22" x14ac:dyDescent="0.25">
      <c r="B20" s="7" t="s">
        <v>58</v>
      </c>
      <c r="P20" s="7">
        <v>10</v>
      </c>
      <c r="V20" s="7">
        <v>10</v>
      </c>
    </row>
    <row r="21" spans="1:22" x14ac:dyDescent="0.25">
      <c r="A21" s="7" t="s">
        <v>18</v>
      </c>
      <c r="C21" s="7">
        <v>118.625</v>
      </c>
      <c r="D21" s="7">
        <v>21.2</v>
      </c>
      <c r="E21" s="7">
        <v>37.700000000000003</v>
      </c>
      <c r="F21" s="7">
        <v>30.6</v>
      </c>
      <c r="G21" s="7">
        <v>71</v>
      </c>
      <c r="H21" s="7">
        <v>148</v>
      </c>
      <c r="I21" s="7">
        <v>5</v>
      </c>
      <c r="J21" s="7">
        <v>10</v>
      </c>
      <c r="K21" s="7">
        <v>30</v>
      </c>
      <c r="L21" s="7">
        <v>21</v>
      </c>
      <c r="M21" s="7">
        <v>25</v>
      </c>
      <c r="N21" s="7">
        <v>10.75</v>
      </c>
      <c r="O21" s="7">
        <v>0.1</v>
      </c>
      <c r="P21" s="7">
        <v>27.5</v>
      </c>
      <c r="Q21" s="7">
        <v>1</v>
      </c>
      <c r="R21" s="7">
        <v>26</v>
      </c>
      <c r="S21" s="7">
        <v>26</v>
      </c>
      <c r="T21" s="7">
        <v>0.5</v>
      </c>
      <c r="U21" s="7">
        <v>41.725000000000001</v>
      </c>
      <c r="V21" s="7">
        <v>651.70000000000005</v>
      </c>
    </row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 x14ac:dyDescent="0.25"/>
  <cols>
    <col min="1" max="1" width="27" customWidth="1"/>
    <col min="2" max="2" width="5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41</v>
      </c>
      <c r="P1" s="2" t="s">
        <v>14</v>
      </c>
      <c r="Q1" s="2" t="s">
        <v>42</v>
      </c>
      <c r="R1" s="2" t="s">
        <v>15</v>
      </c>
      <c r="S1" s="2" t="s">
        <v>16</v>
      </c>
      <c r="T1" s="2" t="s">
        <v>17</v>
      </c>
      <c r="U1" s="3" t="s">
        <v>18</v>
      </c>
    </row>
    <row r="2" spans="1:21" x14ac:dyDescent="0.25">
      <c r="A2" s="1" t="s">
        <v>59</v>
      </c>
      <c r="B2" s="1" t="s">
        <v>60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>
        <v>1</v>
      </c>
    </row>
    <row r="3" spans="1:21" x14ac:dyDescent="0.25">
      <c r="A3" s="4"/>
      <c r="B3" s="6" t="s">
        <v>61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>
        <v>1</v>
      </c>
    </row>
    <row r="4" spans="1:21" x14ac:dyDescent="0.25">
      <c r="A4" s="4"/>
      <c r="B4" s="6" t="s">
        <v>62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1</v>
      </c>
      <c r="U4" s="8">
        <v>1</v>
      </c>
    </row>
    <row r="5" spans="1:21" x14ac:dyDescent="0.25">
      <c r="A5" s="4"/>
      <c r="B5" s="6" t="s">
        <v>63</v>
      </c>
      <c r="C5" s="6">
        <v>3</v>
      </c>
      <c r="D5" s="7">
        <v>1</v>
      </c>
      <c r="E5" s="7">
        <v>1</v>
      </c>
      <c r="F5" s="7">
        <v>1</v>
      </c>
      <c r="G5" s="7">
        <v>1</v>
      </c>
      <c r="H5" s="7">
        <v>4</v>
      </c>
      <c r="I5" s="7"/>
      <c r="J5" s="7"/>
      <c r="K5" s="7"/>
      <c r="L5" s="7"/>
      <c r="M5" s="7"/>
      <c r="N5" s="7">
        <v>0.5</v>
      </c>
      <c r="O5" s="7"/>
      <c r="P5" s="7">
        <v>1</v>
      </c>
      <c r="Q5" s="7"/>
      <c r="R5" s="7">
        <v>2</v>
      </c>
      <c r="S5" s="7">
        <v>1</v>
      </c>
      <c r="T5" s="7">
        <v>1</v>
      </c>
      <c r="U5" s="8">
        <v>16.5</v>
      </c>
    </row>
    <row r="6" spans="1:21" x14ac:dyDescent="0.25">
      <c r="A6" s="4"/>
      <c r="B6" s="6" t="s">
        <v>64</v>
      </c>
      <c r="C6" s="6"/>
      <c r="D6" s="7"/>
      <c r="E6" s="7"/>
      <c r="F6" s="7">
        <v>1</v>
      </c>
      <c r="G6" s="7"/>
      <c r="H6" s="7"/>
      <c r="I6" s="7"/>
      <c r="J6" s="7"/>
      <c r="K6" s="7">
        <v>1</v>
      </c>
      <c r="L6" s="7"/>
      <c r="M6" s="7"/>
      <c r="N6" s="7"/>
      <c r="O6" s="7"/>
      <c r="P6" s="7"/>
      <c r="Q6" s="7"/>
      <c r="R6" s="7"/>
      <c r="S6" s="7"/>
      <c r="T6" s="7"/>
      <c r="U6" s="8">
        <v>2</v>
      </c>
    </row>
    <row r="7" spans="1:21" x14ac:dyDescent="0.25">
      <c r="A7" s="4"/>
      <c r="B7" s="6" t="s">
        <v>65</v>
      </c>
      <c r="C7" s="6"/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>
        <v>1</v>
      </c>
    </row>
    <row r="8" spans="1:21" x14ac:dyDescent="0.25">
      <c r="A8" s="4"/>
      <c r="B8" s="6" t="s">
        <v>66</v>
      </c>
      <c r="C8" s="6">
        <v>1</v>
      </c>
      <c r="D8" s="7"/>
      <c r="E8" s="7"/>
      <c r="F8" s="7">
        <v>0.5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8">
        <v>2.5</v>
      </c>
    </row>
    <row r="9" spans="1:21" x14ac:dyDescent="0.25">
      <c r="A9" s="4"/>
      <c r="B9" s="6" t="s">
        <v>67</v>
      </c>
      <c r="C9" s="6"/>
      <c r="D9" s="7"/>
      <c r="E9" s="7"/>
      <c r="F9" s="7"/>
      <c r="G9" s="7">
        <v>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>
        <v>8</v>
      </c>
    </row>
    <row r="10" spans="1:21" x14ac:dyDescent="0.25">
      <c r="A10" s="4"/>
      <c r="B10" s="6" t="s">
        <v>68</v>
      </c>
      <c r="C10" s="6"/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>
        <v>1</v>
      </c>
    </row>
    <row r="11" spans="1:21" x14ac:dyDescent="0.25">
      <c r="A11" s="4"/>
      <c r="B11" s="5" t="s">
        <v>69</v>
      </c>
      <c r="C11" s="6">
        <v>1</v>
      </c>
      <c r="D11" s="7"/>
      <c r="E11" s="7"/>
      <c r="F11" s="7">
        <v>2.5</v>
      </c>
      <c r="G11" s="7"/>
      <c r="H11" s="7">
        <v>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7</v>
      </c>
      <c r="T11" s="7"/>
      <c r="U11" s="8">
        <v>16.5</v>
      </c>
    </row>
    <row r="12" spans="1:21" x14ac:dyDescent="0.25">
      <c r="A12" s="4"/>
      <c r="B12" s="6" t="s">
        <v>70</v>
      </c>
      <c r="C12" s="6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>
        <v>4</v>
      </c>
    </row>
    <row r="13" spans="1:21" x14ac:dyDescent="0.25">
      <c r="A13" s="4"/>
      <c r="B13" s="6" t="s">
        <v>71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>
        <v>1</v>
      </c>
      <c r="T13" s="7"/>
      <c r="U13" s="8">
        <v>1</v>
      </c>
    </row>
    <row r="14" spans="1:21" x14ac:dyDescent="0.25">
      <c r="A14" s="4"/>
      <c r="B14" s="6" t="s">
        <v>72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>
        <v>8</v>
      </c>
      <c r="T14" s="7"/>
      <c r="U14" s="8">
        <v>8</v>
      </c>
    </row>
    <row r="15" spans="1:21" x14ac:dyDescent="0.25">
      <c r="A15" s="4"/>
      <c r="B15" s="6" t="s">
        <v>73</v>
      </c>
      <c r="C15" s="6"/>
      <c r="D15" s="7"/>
      <c r="E15" s="7"/>
      <c r="F15" s="7"/>
      <c r="G15" s="7"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>
        <v>7</v>
      </c>
    </row>
    <row r="16" spans="1:21" x14ac:dyDescent="0.25">
      <c r="A16" s="4"/>
      <c r="B16" s="6" t="s">
        <v>74</v>
      </c>
      <c r="C16" s="6"/>
      <c r="D16" s="7"/>
      <c r="E16" s="7"/>
      <c r="F16" s="7"/>
      <c r="G16" s="7"/>
      <c r="H16" s="7">
        <v>0.5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>
        <v>0.5</v>
      </c>
    </row>
    <row r="17" spans="1:21" x14ac:dyDescent="0.25">
      <c r="A17" s="4"/>
      <c r="B17" s="6" t="s">
        <v>75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>
        <v>1</v>
      </c>
    </row>
    <row r="18" spans="1:21" x14ac:dyDescent="0.25">
      <c r="A18" s="4"/>
      <c r="B18" s="6" t="s">
        <v>76</v>
      </c>
      <c r="C18" s="6"/>
      <c r="D18" s="7"/>
      <c r="E18" s="7"/>
      <c r="F18" s="7"/>
      <c r="G18" s="7"/>
      <c r="H18" s="7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>
        <v>1</v>
      </c>
      <c r="T18" s="7"/>
      <c r="U18" s="8">
        <v>2</v>
      </c>
    </row>
    <row r="19" spans="1:21" x14ac:dyDescent="0.25">
      <c r="A19" s="4"/>
      <c r="B19" s="6" t="s">
        <v>77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3</v>
      </c>
      <c r="T19" s="7"/>
      <c r="U19" s="8">
        <v>3</v>
      </c>
    </row>
    <row r="20" spans="1:21" x14ac:dyDescent="0.25">
      <c r="A20" s="4"/>
      <c r="B20" s="6" t="s">
        <v>78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>
        <v>3</v>
      </c>
      <c r="T20" s="7"/>
      <c r="U20" s="8">
        <v>3</v>
      </c>
    </row>
    <row r="21" spans="1:21" x14ac:dyDescent="0.25">
      <c r="A21" s="4"/>
      <c r="B21" s="6" t="s">
        <v>79</v>
      </c>
      <c r="C21" s="6"/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>
        <v>2</v>
      </c>
    </row>
    <row r="22" spans="1:21" x14ac:dyDescent="0.25">
      <c r="A22" s="4"/>
      <c r="B22" s="6" t="s">
        <v>80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>
        <v>1</v>
      </c>
    </row>
    <row r="23" spans="1:21" x14ac:dyDescent="0.25">
      <c r="A23" s="4"/>
      <c r="B23" s="6" t="s">
        <v>81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0.5</v>
      </c>
      <c r="U23" s="8">
        <v>0.5</v>
      </c>
    </row>
    <row r="24" spans="1:21" x14ac:dyDescent="0.25">
      <c r="A24" s="4"/>
      <c r="B24" s="6" t="s">
        <v>82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v>1</v>
      </c>
    </row>
    <row r="25" spans="1:21" x14ac:dyDescent="0.25">
      <c r="A25" s="4"/>
      <c r="B25" s="5" t="s">
        <v>83</v>
      </c>
      <c r="C25" s="6"/>
      <c r="D25" s="7"/>
      <c r="E25" s="7"/>
      <c r="F25" s="7"/>
      <c r="G25" s="7">
        <v>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>
        <v>3</v>
      </c>
    </row>
    <row r="26" spans="1:21" x14ac:dyDescent="0.25">
      <c r="A26" s="4"/>
      <c r="B26" s="6" t="s">
        <v>84</v>
      </c>
      <c r="C26" s="6"/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v>1</v>
      </c>
    </row>
    <row r="27" spans="1:21" x14ac:dyDescent="0.25">
      <c r="A27" s="4"/>
      <c r="B27" s="6" t="s">
        <v>85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>
        <v>1</v>
      </c>
      <c r="T27" s="7"/>
      <c r="U27" s="8">
        <v>1</v>
      </c>
    </row>
    <row r="28" spans="1:21" x14ac:dyDescent="0.25">
      <c r="A28" s="4"/>
      <c r="B28" s="6" t="s">
        <v>86</v>
      </c>
      <c r="C28" s="6"/>
      <c r="D28" s="7"/>
      <c r="E28" s="7"/>
      <c r="F28" s="7"/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>
        <v>1</v>
      </c>
    </row>
    <row r="29" spans="1:21" x14ac:dyDescent="0.25">
      <c r="A29" s="4"/>
      <c r="B29" s="6" t="s">
        <v>87</v>
      </c>
      <c r="C29" s="6"/>
      <c r="D29" s="7"/>
      <c r="E29" s="7"/>
      <c r="F29" s="7"/>
      <c r="G29" s="7"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>
        <v>6</v>
      </c>
    </row>
    <row r="30" spans="1:21" x14ac:dyDescent="0.25">
      <c r="A30" s="4"/>
      <c r="B30" s="6" t="s">
        <v>88</v>
      </c>
      <c r="C30" s="6">
        <v>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>
        <v>2</v>
      </c>
    </row>
    <row r="31" spans="1:21" x14ac:dyDescent="0.25">
      <c r="A31" s="4"/>
      <c r="B31" s="6" t="s">
        <v>89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7"/>
      <c r="U31" s="8">
        <v>1</v>
      </c>
    </row>
    <row r="32" spans="1:21" x14ac:dyDescent="0.25">
      <c r="A32" s="4"/>
      <c r="B32" s="6" t="s">
        <v>90</v>
      </c>
      <c r="C32" s="6"/>
      <c r="D32" s="7"/>
      <c r="E32" s="7"/>
      <c r="F32" s="7"/>
      <c r="G32" s="7">
        <v>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>
        <v>3</v>
      </c>
    </row>
    <row r="33" spans="1:21" x14ac:dyDescent="0.25">
      <c r="A33" s="4"/>
      <c r="B33" s="6" t="s">
        <v>91</v>
      </c>
      <c r="C33" s="6">
        <v>19</v>
      </c>
      <c r="D33" s="7"/>
      <c r="E33" s="7"/>
      <c r="F33" s="7">
        <v>1</v>
      </c>
      <c r="G33" s="7"/>
      <c r="H33" s="7"/>
      <c r="I33" s="7"/>
      <c r="J33" s="7"/>
      <c r="K33" s="7"/>
      <c r="L33" s="7">
        <v>5</v>
      </c>
      <c r="M33" s="7"/>
      <c r="N33" s="7"/>
      <c r="O33" s="7"/>
      <c r="P33" s="7"/>
      <c r="Q33" s="7"/>
      <c r="R33" s="7"/>
      <c r="S33" s="7"/>
      <c r="T33" s="7"/>
      <c r="U33" s="8">
        <v>25</v>
      </c>
    </row>
    <row r="34" spans="1:21" x14ac:dyDescent="0.25">
      <c r="A34" s="4"/>
      <c r="B34" s="6" t="s">
        <v>92</v>
      </c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2</v>
      </c>
      <c r="T34" s="7"/>
      <c r="U34" s="8">
        <v>2</v>
      </c>
    </row>
    <row r="35" spans="1:21" x14ac:dyDescent="0.25">
      <c r="A35" s="4"/>
      <c r="B35" s="6" t="s">
        <v>93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1</v>
      </c>
      <c r="T35" s="7"/>
      <c r="U35" s="8">
        <v>1</v>
      </c>
    </row>
    <row r="36" spans="1:21" x14ac:dyDescent="0.25">
      <c r="A36" s="4"/>
      <c r="B36" s="6" t="s">
        <v>94</v>
      </c>
      <c r="C36" s="6"/>
      <c r="D36" s="7"/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</v>
      </c>
      <c r="U36" s="8">
        <v>2</v>
      </c>
    </row>
    <row r="37" spans="1:21" x14ac:dyDescent="0.25">
      <c r="A37" s="4"/>
      <c r="B37" s="6" t="s">
        <v>95</v>
      </c>
      <c r="C37" s="6"/>
      <c r="D37" s="7"/>
      <c r="E37" s="7"/>
      <c r="F37" s="7"/>
      <c r="G37" s="7">
        <v>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>
        <v>1</v>
      </c>
    </row>
    <row r="38" spans="1:21" x14ac:dyDescent="0.25">
      <c r="A38" s="4"/>
      <c r="B38" s="6" t="s">
        <v>96</v>
      </c>
      <c r="C38" s="6"/>
      <c r="D38" s="7"/>
      <c r="E38" s="7"/>
      <c r="F38" s="7"/>
      <c r="G38" s="7">
        <v>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>
        <v>8</v>
      </c>
    </row>
    <row r="39" spans="1:21" x14ac:dyDescent="0.25">
      <c r="A39" s="4"/>
      <c r="B39" s="6" t="s">
        <v>97</v>
      </c>
      <c r="C39" s="6"/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>
        <v>1</v>
      </c>
    </row>
    <row r="40" spans="1:21" x14ac:dyDescent="0.25">
      <c r="A40" s="4"/>
      <c r="B40" s="6" t="s">
        <v>98</v>
      </c>
      <c r="C40" s="6"/>
      <c r="D40" s="7"/>
      <c r="E40" s="7">
        <v>0.3</v>
      </c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7"/>
      <c r="S40" s="7"/>
      <c r="T40" s="7"/>
      <c r="U40" s="8">
        <v>1.3</v>
      </c>
    </row>
    <row r="41" spans="1:21" x14ac:dyDescent="0.25">
      <c r="A41" s="4"/>
      <c r="B41" s="1" t="s">
        <v>99</v>
      </c>
      <c r="C41" s="1"/>
      <c r="D41" s="2"/>
      <c r="E41" s="2">
        <v>0.1</v>
      </c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  <c r="Q41" s="2"/>
      <c r="R41" s="2"/>
      <c r="S41" s="2"/>
      <c r="T41" s="2"/>
      <c r="U41" s="3">
        <v>1.1000000000000001</v>
      </c>
    </row>
    <row r="42" spans="1:21" x14ac:dyDescent="0.25">
      <c r="A42" s="4"/>
      <c r="B42" s="1" t="s">
        <v>100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1</v>
      </c>
      <c r="T42" s="2"/>
      <c r="U42" s="3">
        <v>1</v>
      </c>
    </row>
    <row r="43" spans="1:21" x14ac:dyDescent="0.25">
      <c r="A43" s="4"/>
      <c r="B43" s="5" t="s">
        <v>101</v>
      </c>
      <c r="C43" s="6">
        <v>11</v>
      </c>
      <c r="D43" s="7">
        <v>3</v>
      </c>
      <c r="E43" s="7"/>
      <c r="F43" s="7"/>
      <c r="G43" s="7">
        <v>3</v>
      </c>
      <c r="H43" s="7">
        <v>13</v>
      </c>
      <c r="I43" s="7"/>
      <c r="J43" s="7"/>
      <c r="K43" s="7">
        <v>3</v>
      </c>
      <c r="L43" s="7"/>
      <c r="M43" s="7"/>
      <c r="N43" s="7"/>
      <c r="O43" s="7"/>
      <c r="P43" s="7">
        <v>1</v>
      </c>
      <c r="Q43" s="7"/>
      <c r="R43" s="7"/>
      <c r="S43" s="7"/>
      <c r="T43" s="7">
        <v>2</v>
      </c>
      <c r="U43" s="8">
        <v>36</v>
      </c>
    </row>
    <row r="44" spans="1:21" x14ac:dyDescent="0.25">
      <c r="A44" s="4"/>
      <c r="B44" s="6" t="s">
        <v>102</v>
      </c>
      <c r="C44" s="6"/>
      <c r="D44" s="7"/>
      <c r="E44" s="7"/>
      <c r="F44" s="7"/>
      <c r="G44" s="7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>
        <v>1</v>
      </c>
    </row>
    <row r="45" spans="1:21" x14ac:dyDescent="0.25">
      <c r="A45" s="4"/>
      <c r="B45" s="6" t="s">
        <v>103</v>
      </c>
      <c r="C45" s="6"/>
      <c r="D45" s="7"/>
      <c r="E45" s="7"/>
      <c r="F45" s="7"/>
      <c r="G45" s="7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>
        <v>2</v>
      </c>
    </row>
    <row r="46" spans="1:21" x14ac:dyDescent="0.25">
      <c r="A46" s="4"/>
      <c r="B46" s="6" t="s">
        <v>104</v>
      </c>
      <c r="C46" s="6">
        <v>6</v>
      </c>
      <c r="D46" s="7"/>
      <c r="E46" s="7"/>
      <c r="F46" s="7">
        <v>1</v>
      </c>
      <c r="G46" s="7"/>
      <c r="H46" s="7">
        <v>2</v>
      </c>
      <c r="I46" s="7"/>
      <c r="J46" s="7">
        <v>2</v>
      </c>
      <c r="K46" s="7"/>
      <c r="L46" s="7"/>
      <c r="M46" s="7">
        <v>1</v>
      </c>
      <c r="N46" s="7"/>
      <c r="O46" s="7"/>
      <c r="P46" s="7"/>
      <c r="Q46" s="7"/>
      <c r="R46" s="7"/>
      <c r="S46" s="7"/>
      <c r="T46" s="7"/>
      <c r="U46" s="8">
        <v>12</v>
      </c>
    </row>
    <row r="47" spans="1:21" x14ac:dyDescent="0.25">
      <c r="A47" s="4"/>
      <c r="B47" s="6" t="s">
        <v>105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>
        <v>2</v>
      </c>
    </row>
    <row r="48" spans="1:21" x14ac:dyDescent="0.25">
      <c r="A48" s="4"/>
      <c r="B48" s="6" t="s">
        <v>106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1</v>
      </c>
      <c r="T48" s="7"/>
      <c r="U48" s="8">
        <v>1</v>
      </c>
    </row>
    <row r="49" spans="1:21" x14ac:dyDescent="0.25">
      <c r="A49" s="4"/>
      <c r="B49" s="6" t="s">
        <v>107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1</v>
      </c>
      <c r="Q49" s="7"/>
      <c r="R49" s="7"/>
      <c r="S49" s="7"/>
      <c r="T49" s="7"/>
      <c r="U49" s="8">
        <v>1</v>
      </c>
    </row>
    <row r="50" spans="1:21" x14ac:dyDescent="0.25">
      <c r="A50" s="4"/>
      <c r="B50" s="6" t="s">
        <v>108</v>
      </c>
      <c r="C50" s="6">
        <v>1</v>
      </c>
      <c r="D50" s="7"/>
      <c r="E50" s="7"/>
      <c r="F50" s="7"/>
      <c r="G50" s="7"/>
      <c r="H50" s="7">
        <v>1</v>
      </c>
      <c r="I50" s="7"/>
      <c r="J50" s="7">
        <v>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8">
        <v>4</v>
      </c>
    </row>
    <row r="51" spans="1:21" x14ac:dyDescent="0.25">
      <c r="A51" s="4"/>
      <c r="B51" s="5" t="s">
        <v>109</v>
      </c>
      <c r="C51" s="6">
        <v>11</v>
      </c>
      <c r="D51" s="7"/>
      <c r="E51" s="7">
        <v>0.2</v>
      </c>
      <c r="F51" s="7"/>
      <c r="G51" s="7"/>
      <c r="H51" s="7">
        <v>2</v>
      </c>
      <c r="I51" s="7"/>
      <c r="J51" s="7"/>
      <c r="K51" s="7"/>
      <c r="L51" s="7"/>
      <c r="M51" s="7"/>
      <c r="N51" s="7">
        <v>2</v>
      </c>
      <c r="O51" s="7"/>
      <c r="P51" s="7"/>
      <c r="Q51" s="7"/>
      <c r="R51" s="7"/>
      <c r="S51" s="7">
        <v>1</v>
      </c>
      <c r="T51" s="7"/>
      <c r="U51" s="8">
        <v>16.2</v>
      </c>
    </row>
    <row r="52" spans="1:21" x14ac:dyDescent="0.25">
      <c r="A52" s="4"/>
      <c r="B52" s="6" t="s">
        <v>110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>
        <v>1</v>
      </c>
    </row>
    <row r="53" spans="1:21" x14ac:dyDescent="0.25">
      <c r="A53" s="4"/>
      <c r="B53" s="6" t="s">
        <v>111</v>
      </c>
      <c r="C53" s="6">
        <v>1</v>
      </c>
      <c r="D53" s="7">
        <v>1</v>
      </c>
      <c r="E53" s="7"/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3</v>
      </c>
      <c r="T53" s="7"/>
      <c r="U53" s="8">
        <v>6</v>
      </c>
    </row>
    <row r="54" spans="1:21" x14ac:dyDescent="0.25">
      <c r="A54" s="4"/>
      <c r="B54" s="6" t="s">
        <v>112</v>
      </c>
      <c r="C54" s="6"/>
      <c r="D54" s="7"/>
      <c r="E54" s="7"/>
      <c r="F54" s="7"/>
      <c r="G54" s="7"/>
      <c r="H54" s="7">
        <v>1</v>
      </c>
      <c r="I54" s="7"/>
      <c r="J54" s="7"/>
      <c r="K54" s="7">
        <v>1</v>
      </c>
      <c r="L54" s="7"/>
      <c r="M54" s="7"/>
      <c r="N54" s="7"/>
      <c r="O54" s="7"/>
      <c r="P54" s="7"/>
      <c r="Q54" s="7"/>
      <c r="R54" s="7"/>
      <c r="S54" s="7"/>
      <c r="T54" s="7"/>
      <c r="U54" s="8">
        <v>2</v>
      </c>
    </row>
    <row r="55" spans="1:21" x14ac:dyDescent="0.25">
      <c r="A55" s="4"/>
      <c r="B55" s="6" t="s">
        <v>113</v>
      </c>
      <c r="C55" s="6"/>
      <c r="D55" s="7"/>
      <c r="E55" s="7"/>
      <c r="F55" s="7"/>
      <c r="G55" s="7">
        <v>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>
        <v>1</v>
      </c>
    </row>
    <row r="56" spans="1:21" x14ac:dyDescent="0.25">
      <c r="A56" s="4"/>
      <c r="B56" s="6" t="s">
        <v>114</v>
      </c>
      <c r="C56" s="6"/>
      <c r="D56" s="7"/>
      <c r="E56" s="7"/>
      <c r="F56" s="7">
        <v>1</v>
      </c>
      <c r="G56" s="7"/>
      <c r="H56" s="7">
        <v>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>
        <v>2</v>
      </c>
    </row>
    <row r="57" spans="1:21" x14ac:dyDescent="0.25">
      <c r="A57" s="4"/>
      <c r="B57" s="6" t="s">
        <v>115</v>
      </c>
      <c r="C57" s="6"/>
      <c r="D57" s="7"/>
      <c r="E57" s="7"/>
      <c r="F57" s="7"/>
      <c r="G57" s="7"/>
      <c r="H57" s="7">
        <v>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>
        <v>1</v>
      </c>
    </row>
    <row r="58" spans="1:21" x14ac:dyDescent="0.25">
      <c r="A58" s="4"/>
      <c r="B58" s="6" t="s">
        <v>116</v>
      </c>
      <c r="C58" s="6"/>
      <c r="D58" s="7"/>
      <c r="E58" s="7"/>
      <c r="F58" s="7"/>
      <c r="G58" s="7"/>
      <c r="H58" s="7">
        <v>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1</v>
      </c>
      <c r="T58" s="7"/>
      <c r="U58" s="8">
        <v>2</v>
      </c>
    </row>
    <row r="59" spans="1:21" x14ac:dyDescent="0.25">
      <c r="A59" s="4"/>
      <c r="B59" s="6" t="s">
        <v>117</v>
      </c>
      <c r="C59" s="6"/>
      <c r="D59" s="7"/>
      <c r="E59" s="7"/>
      <c r="F59" s="7">
        <v>1</v>
      </c>
      <c r="G59" s="7"/>
      <c r="H59" s="7">
        <v>1.25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>
        <v>2.25</v>
      </c>
    </row>
    <row r="60" spans="1:21" x14ac:dyDescent="0.25">
      <c r="A60" s="4"/>
      <c r="B60" s="6" t="s">
        <v>118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>
        <v>1</v>
      </c>
    </row>
    <row r="61" spans="1:21" x14ac:dyDescent="0.25">
      <c r="A61" s="4"/>
      <c r="B61" s="6" t="s">
        <v>119</v>
      </c>
      <c r="C61" s="6"/>
      <c r="D61" s="7"/>
      <c r="E61" s="7"/>
      <c r="F61" s="7"/>
      <c r="G61" s="7"/>
      <c r="H61" s="7">
        <v>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>
        <v>1</v>
      </c>
    </row>
    <row r="62" spans="1:21" x14ac:dyDescent="0.25">
      <c r="A62" s="4"/>
      <c r="B62" s="6" t="s">
        <v>120</v>
      </c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1</v>
      </c>
      <c r="T62" s="7"/>
      <c r="U62" s="8">
        <v>1</v>
      </c>
    </row>
    <row r="63" spans="1:21" x14ac:dyDescent="0.25">
      <c r="A63" s="4"/>
      <c r="B63" s="6" t="s">
        <v>121</v>
      </c>
      <c r="C63" s="6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>
        <v>1</v>
      </c>
    </row>
    <row r="64" spans="1:21" x14ac:dyDescent="0.25">
      <c r="A64" s="4"/>
      <c r="B64" s="6" t="s">
        <v>122</v>
      </c>
      <c r="C64" s="6"/>
      <c r="D64" s="7"/>
      <c r="E64" s="7"/>
      <c r="F64" s="7"/>
      <c r="G64" s="7">
        <v>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>
        <v>1</v>
      </c>
    </row>
    <row r="65" spans="1:21" x14ac:dyDescent="0.25">
      <c r="A65" s="4"/>
      <c r="B65" s="6" t="s">
        <v>123</v>
      </c>
      <c r="C65" s="6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>
        <v>1</v>
      </c>
    </row>
    <row r="66" spans="1:21" x14ac:dyDescent="0.25">
      <c r="A66" s="4"/>
      <c r="B66" s="6" t="s">
        <v>124</v>
      </c>
      <c r="C66" s="6"/>
      <c r="D66" s="7"/>
      <c r="E66" s="7"/>
      <c r="F66" s="7"/>
      <c r="G66" s="7"/>
      <c r="H66" s="7">
        <v>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>
        <v>4</v>
      </c>
    </row>
    <row r="67" spans="1:21" x14ac:dyDescent="0.25">
      <c r="A67" s="4"/>
      <c r="B67" s="6" t="s">
        <v>125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>
        <v>1</v>
      </c>
    </row>
    <row r="68" spans="1:21" x14ac:dyDescent="0.25">
      <c r="A68" s="4"/>
      <c r="B68" s="6" t="s">
        <v>126</v>
      </c>
      <c r="C68" s="6"/>
      <c r="D68" s="7"/>
      <c r="E68" s="7">
        <v>0.75</v>
      </c>
      <c r="F68" s="7"/>
      <c r="G68" s="7"/>
      <c r="H68" s="7"/>
      <c r="I68" s="7"/>
      <c r="J68" s="7"/>
      <c r="K68" s="7"/>
      <c r="L68" s="7"/>
      <c r="M68" s="7"/>
      <c r="N68" s="7">
        <v>0.25</v>
      </c>
      <c r="O68" s="7"/>
      <c r="P68" s="7"/>
      <c r="Q68" s="7"/>
      <c r="R68" s="7"/>
      <c r="S68" s="7"/>
      <c r="T68" s="7"/>
      <c r="U68" s="8">
        <v>1</v>
      </c>
    </row>
    <row r="69" spans="1:21" x14ac:dyDescent="0.25">
      <c r="A69" s="4"/>
      <c r="B69" s="6" t="s">
        <v>127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>
        <v>1</v>
      </c>
    </row>
    <row r="70" spans="1:21" x14ac:dyDescent="0.25">
      <c r="A70" s="4"/>
      <c r="B70" s="6" t="s">
        <v>128</v>
      </c>
      <c r="C70" s="6"/>
      <c r="D70" s="7"/>
      <c r="E70" s="7"/>
      <c r="F70" s="7"/>
      <c r="G70" s="7"/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>
        <v>1</v>
      </c>
    </row>
    <row r="71" spans="1:21" x14ac:dyDescent="0.25">
      <c r="A71" s="4"/>
      <c r="B71" s="6" t="s">
        <v>129</v>
      </c>
      <c r="C71" s="6">
        <v>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>
        <v>1</v>
      </c>
    </row>
    <row r="72" spans="1:21" x14ac:dyDescent="0.25">
      <c r="A72" s="4"/>
      <c r="B72" s="6" t="s">
        <v>130</v>
      </c>
      <c r="C72" s="6">
        <v>1</v>
      </c>
      <c r="D72" s="7"/>
      <c r="E72" s="7"/>
      <c r="F72" s="7"/>
      <c r="G72" s="7"/>
      <c r="H72" s="7">
        <v>1</v>
      </c>
      <c r="I72" s="7"/>
      <c r="J72" s="7">
        <v>1</v>
      </c>
      <c r="K72" s="7"/>
      <c r="L72" s="7">
        <v>3</v>
      </c>
      <c r="M72" s="7">
        <v>1</v>
      </c>
      <c r="N72" s="7"/>
      <c r="O72" s="7"/>
      <c r="P72" s="7"/>
      <c r="Q72" s="7"/>
      <c r="R72" s="7"/>
      <c r="S72" s="7"/>
      <c r="T72" s="7"/>
      <c r="U72" s="8">
        <v>7</v>
      </c>
    </row>
    <row r="73" spans="1:21" x14ac:dyDescent="0.25">
      <c r="A73" s="4"/>
      <c r="B73" s="6" t="s">
        <v>131</v>
      </c>
      <c r="C73" s="6">
        <v>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1</v>
      </c>
      <c r="U73" s="8">
        <v>3</v>
      </c>
    </row>
    <row r="74" spans="1:21" x14ac:dyDescent="0.25">
      <c r="A74" s="4"/>
      <c r="B74" s="6" t="s">
        <v>132</v>
      </c>
      <c r="C74" s="6"/>
      <c r="D74" s="7"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>
        <v>1</v>
      </c>
    </row>
    <row r="75" spans="1:21" x14ac:dyDescent="0.25">
      <c r="A75" s="4"/>
      <c r="B75" s="6" t="s">
        <v>133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>
        <v>1</v>
      </c>
    </row>
    <row r="76" spans="1:21" x14ac:dyDescent="0.25">
      <c r="A76" s="4"/>
      <c r="B76" s="6" t="s">
        <v>134</v>
      </c>
      <c r="C76" s="6">
        <v>2.2999999999999998</v>
      </c>
      <c r="D76" s="7"/>
      <c r="E76" s="7"/>
      <c r="F76" s="7"/>
      <c r="G76" s="7">
        <v>1</v>
      </c>
      <c r="H76" s="7">
        <v>1</v>
      </c>
      <c r="I76" s="7">
        <v>1</v>
      </c>
      <c r="J76" s="7">
        <v>3.3</v>
      </c>
      <c r="K76" s="7"/>
      <c r="L76" s="7">
        <v>5</v>
      </c>
      <c r="M76" s="7"/>
      <c r="N76" s="7"/>
      <c r="O76" s="7"/>
      <c r="P76" s="7"/>
      <c r="Q76" s="7"/>
      <c r="R76" s="7"/>
      <c r="S76" s="7"/>
      <c r="T76" s="7"/>
      <c r="U76" s="8">
        <v>13.6</v>
      </c>
    </row>
    <row r="77" spans="1:21" x14ac:dyDescent="0.25">
      <c r="A77" s="4"/>
      <c r="B77" s="6" t="s">
        <v>135</v>
      </c>
      <c r="C77" s="6"/>
      <c r="D77" s="7"/>
      <c r="E77" s="7"/>
      <c r="F77" s="7"/>
      <c r="G77" s="7"/>
      <c r="H77" s="7">
        <v>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>
        <v>1</v>
      </c>
    </row>
    <row r="78" spans="1:21" x14ac:dyDescent="0.25">
      <c r="A78" s="4"/>
      <c r="B78" s="6" t="s">
        <v>136</v>
      </c>
      <c r="C78" s="6">
        <v>1</v>
      </c>
      <c r="D78" s="7"/>
      <c r="E78" s="7"/>
      <c r="F78" s="7"/>
      <c r="G78" s="7"/>
      <c r="H78" s="7">
        <v>1.3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>
        <v>2.2999999999999998</v>
      </c>
    </row>
    <row r="79" spans="1:21" x14ac:dyDescent="0.25">
      <c r="A79" s="4"/>
      <c r="B79" s="6" t="s">
        <v>137</v>
      </c>
      <c r="C79" s="6">
        <v>0.25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2</v>
      </c>
      <c r="T79" s="7"/>
      <c r="U79" s="8">
        <v>2.25</v>
      </c>
    </row>
    <row r="80" spans="1:21" x14ac:dyDescent="0.25">
      <c r="A80" s="4"/>
      <c r="B80" s="6" t="s">
        <v>138</v>
      </c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1</v>
      </c>
      <c r="Q80" s="7"/>
      <c r="R80" s="7"/>
      <c r="S80" s="7"/>
      <c r="T80" s="7"/>
      <c r="U80" s="8">
        <v>1</v>
      </c>
    </row>
    <row r="81" spans="1:21" x14ac:dyDescent="0.25">
      <c r="A81" s="4"/>
      <c r="B81" s="6" t="s">
        <v>139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>
        <v>2</v>
      </c>
      <c r="Q81" s="7"/>
      <c r="R81" s="7"/>
      <c r="S81" s="7"/>
      <c r="T81" s="7"/>
      <c r="U81" s="8">
        <v>2</v>
      </c>
    </row>
    <row r="82" spans="1:21" x14ac:dyDescent="0.25">
      <c r="A82" s="4"/>
      <c r="B82" s="6" t="s">
        <v>140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8">
        <v>1</v>
      </c>
    </row>
    <row r="83" spans="1:21" x14ac:dyDescent="0.25">
      <c r="A83" s="4"/>
      <c r="B83" s="6" t="s">
        <v>141</v>
      </c>
      <c r="C83" s="6"/>
      <c r="D83" s="7"/>
      <c r="E83" s="7"/>
      <c r="F83" s="7"/>
      <c r="G83" s="7"/>
      <c r="H83" s="7">
        <v>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>
        <v>1</v>
      </c>
    </row>
    <row r="84" spans="1:21" x14ac:dyDescent="0.25">
      <c r="A84" s="4"/>
      <c r="B84" s="6" t="s">
        <v>142</v>
      </c>
      <c r="C84" s="6"/>
      <c r="D84" s="7"/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>
        <v>1</v>
      </c>
    </row>
    <row r="85" spans="1:21" x14ac:dyDescent="0.25">
      <c r="A85" s="4"/>
      <c r="B85" s="6" t="s">
        <v>143</v>
      </c>
      <c r="C85" s="6"/>
      <c r="D85" s="7"/>
      <c r="E85" s="7"/>
      <c r="F85" s="7"/>
      <c r="G85" s="7"/>
      <c r="H85" s="7">
        <v>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>
        <v>2</v>
      </c>
    </row>
    <row r="86" spans="1:21" x14ac:dyDescent="0.25">
      <c r="A86" s="4"/>
      <c r="B86" s="5" t="s">
        <v>144</v>
      </c>
      <c r="C86" s="6">
        <v>15</v>
      </c>
      <c r="D86" s="7"/>
      <c r="E86" s="7"/>
      <c r="F86" s="7">
        <v>2</v>
      </c>
      <c r="G86" s="7"/>
      <c r="H86" s="7">
        <v>6</v>
      </c>
      <c r="I86" s="7"/>
      <c r="J86" s="7"/>
      <c r="K86" s="7">
        <v>4.5</v>
      </c>
      <c r="L86" s="7"/>
      <c r="M86" s="7"/>
      <c r="N86" s="7"/>
      <c r="O86" s="7"/>
      <c r="P86" s="7">
        <v>0.5</v>
      </c>
      <c r="Q86" s="7"/>
      <c r="R86" s="7"/>
      <c r="S86" s="7"/>
      <c r="T86" s="7"/>
      <c r="U86" s="8">
        <v>28</v>
      </c>
    </row>
    <row r="87" spans="1:21" x14ac:dyDescent="0.25">
      <c r="A87" s="4"/>
      <c r="B87" s="6" t="s">
        <v>145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>
        <v>1</v>
      </c>
      <c r="T87" s="7"/>
      <c r="U87" s="8">
        <v>1</v>
      </c>
    </row>
    <row r="88" spans="1:21" x14ac:dyDescent="0.25">
      <c r="A88" s="4"/>
      <c r="B88" s="6" t="s">
        <v>146</v>
      </c>
      <c r="C88" s="6"/>
      <c r="D88" s="7"/>
      <c r="E88" s="7"/>
      <c r="F88" s="7"/>
      <c r="G88" s="7"/>
      <c r="H88" s="7">
        <v>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>
        <v>1</v>
      </c>
    </row>
    <row r="89" spans="1:21" x14ac:dyDescent="0.25">
      <c r="A89" s="4"/>
      <c r="B89" s="6" t="s">
        <v>147</v>
      </c>
      <c r="C89" s="6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>
        <v>1</v>
      </c>
    </row>
    <row r="90" spans="1:21" x14ac:dyDescent="0.25">
      <c r="A90" s="4"/>
      <c r="B90" s="6" t="s">
        <v>148</v>
      </c>
      <c r="C90" s="6"/>
      <c r="D90" s="7"/>
      <c r="E90" s="7">
        <v>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>
        <v>2</v>
      </c>
    </row>
    <row r="91" spans="1:21" x14ac:dyDescent="0.25">
      <c r="A91" s="4"/>
      <c r="B91" s="6" t="s">
        <v>149</v>
      </c>
      <c r="C91" s="6">
        <v>2</v>
      </c>
      <c r="D91" s="7"/>
      <c r="E91" s="7"/>
      <c r="F91" s="7"/>
      <c r="G91" s="7"/>
      <c r="H91" s="7">
        <v>3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>
        <v>5</v>
      </c>
    </row>
    <row r="92" spans="1:21" x14ac:dyDescent="0.25">
      <c r="A92" s="4"/>
      <c r="B92" s="6" t="s">
        <v>150</v>
      </c>
      <c r="C92" s="6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>
        <v>1</v>
      </c>
    </row>
    <row r="93" spans="1:21" x14ac:dyDescent="0.25">
      <c r="A93" s="4"/>
      <c r="B93" s="6" t="s">
        <v>151</v>
      </c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  <c r="T93" s="7"/>
      <c r="U93" s="8">
        <v>1</v>
      </c>
    </row>
    <row r="94" spans="1:21" x14ac:dyDescent="0.25">
      <c r="A94" s="4"/>
      <c r="B94" s="6" t="s">
        <v>152</v>
      </c>
      <c r="C94" s="6"/>
      <c r="D94" s="7">
        <v>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>
        <v>1</v>
      </c>
    </row>
    <row r="95" spans="1:21" x14ac:dyDescent="0.25">
      <c r="A95" s="4"/>
      <c r="B95" s="6" t="s">
        <v>153</v>
      </c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>
        <v>1</v>
      </c>
      <c r="Q95" s="7"/>
      <c r="R95" s="7"/>
      <c r="S95" s="7"/>
      <c r="T95" s="7"/>
      <c r="U95" s="8">
        <v>1</v>
      </c>
    </row>
    <row r="96" spans="1:21" x14ac:dyDescent="0.25">
      <c r="A96" s="4"/>
      <c r="B96" s="6" t="s">
        <v>154</v>
      </c>
      <c r="C96" s="6">
        <v>1</v>
      </c>
      <c r="D96" s="7"/>
      <c r="E96" s="7"/>
      <c r="F96" s="7"/>
      <c r="G96" s="7">
        <v>1</v>
      </c>
      <c r="H96" s="7">
        <v>1</v>
      </c>
      <c r="I96" s="7"/>
      <c r="J96" s="7"/>
      <c r="K96" s="7"/>
      <c r="L96" s="7"/>
      <c r="M96" s="7"/>
      <c r="N96" s="7"/>
      <c r="O96" s="7">
        <v>0.1</v>
      </c>
      <c r="P96" s="7"/>
      <c r="Q96" s="7"/>
      <c r="R96" s="7"/>
      <c r="S96" s="7"/>
      <c r="T96" s="7"/>
      <c r="U96" s="8">
        <v>3.1</v>
      </c>
    </row>
    <row r="97" spans="1:21" x14ac:dyDescent="0.25">
      <c r="A97" s="4"/>
      <c r="B97" s="6" t="s">
        <v>155</v>
      </c>
      <c r="C97" s="6"/>
      <c r="D97" s="7"/>
      <c r="E97" s="7">
        <v>1</v>
      </c>
      <c r="F97" s="7"/>
      <c r="G97" s="7"/>
      <c r="H97" s="7"/>
      <c r="I97" s="7"/>
      <c r="J97" s="7"/>
      <c r="K97" s="7"/>
      <c r="L97" s="7"/>
      <c r="M97" s="7"/>
      <c r="N97" s="7">
        <v>1</v>
      </c>
      <c r="O97" s="7"/>
      <c r="P97" s="7"/>
      <c r="Q97" s="7"/>
      <c r="R97" s="7"/>
      <c r="S97" s="7"/>
      <c r="T97" s="7"/>
      <c r="U97" s="8">
        <v>2</v>
      </c>
    </row>
    <row r="98" spans="1:21" x14ac:dyDescent="0.25">
      <c r="A98" s="4"/>
      <c r="B98" s="6" t="s">
        <v>156</v>
      </c>
      <c r="C98" s="6"/>
      <c r="D98" s="7"/>
      <c r="E98" s="7"/>
      <c r="F98" s="7"/>
      <c r="G98" s="7"/>
      <c r="H98" s="7">
        <v>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>
        <v>2</v>
      </c>
    </row>
    <row r="99" spans="1:21" x14ac:dyDescent="0.25">
      <c r="A99" s="4"/>
      <c r="B99" s="6" t="s">
        <v>157</v>
      </c>
      <c r="C99" s="6"/>
      <c r="D99" s="7"/>
      <c r="E99" s="7"/>
      <c r="F99" s="7"/>
      <c r="G99" s="7"/>
      <c r="H99" s="7">
        <v>1.3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>
        <v>1.3</v>
      </c>
    </row>
    <row r="100" spans="1:21" x14ac:dyDescent="0.25">
      <c r="A100" s="4"/>
      <c r="B100" s="6" t="s">
        <v>158</v>
      </c>
      <c r="C100" s="6"/>
      <c r="D100" s="7"/>
      <c r="E100" s="7"/>
      <c r="F100" s="7"/>
      <c r="G100" s="7"/>
      <c r="H100" s="7"/>
      <c r="I100" s="7"/>
      <c r="J100" s="7"/>
      <c r="K100" s="7">
        <v>3</v>
      </c>
      <c r="L100" s="7"/>
      <c r="M100" s="7"/>
      <c r="N100" s="7"/>
      <c r="O100" s="7"/>
      <c r="P100" s="7"/>
      <c r="Q100" s="7"/>
      <c r="R100" s="7"/>
      <c r="S100" s="7"/>
      <c r="T100" s="7"/>
      <c r="U100" s="8">
        <v>3</v>
      </c>
    </row>
    <row r="101" spans="1:21" x14ac:dyDescent="0.25">
      <c r="A101" s="4"/>
      <c r="B101" s="6" t="s">
        <v>159</v>
      </c>
      <c r="C101" s="6"/>
      <c r="D101" s="7"/>
      <c r="E101" s="7">
        <v>2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>
        <v>2</v>
      </c>
    </row>
    <row r="102" spans="1:21" x14ac:dyDescent="0.25">
      <c r="A102" s="4"/>
      <c r="B102" s="6" t="s">
        <v>160</v>
      </c>
      <c r="C102" s="6"/>
      <c r="D102" s="7"/>
      <c r="E102" s="7">
        <v>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>
        <v>1</v>
      </c>
    </row>
    <row r="103" spans="1:21" x14ac:dyDescent="0.25">
      <c r="A103" s="4"/>
      <c r="B103" s="6" t="s">
        <v>161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>
        <v>1</v>
      </c>
      <c r="T103" s="7"/>
      <c r="U103" s="8">
        <v>1</v>
      </c>
    </row>
    <row r="104" spans="1:21" x14ac:dyDescent="0.25">
      <c r="A104" s="4"/>
      <c r="B104" s="6" t="s">
        <v>162</v>
      </c>
      <c r="C104" s="6"/>
      <c r="D104" s="7"/>
      <c r="E104" s="7"/>
      <c r="F104" s="7"/>
      <c r="G104" s="7"/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>
        <v>1</v>
      </c>
    </row>
    <row r="105" spans="1:21" x14ac:dyDescent="0.25">
      <c r="A105" s="4"/>
      <c r="B105" s="6" t="s">
        <v>163</v>
      </c>
      <c r="C105" s="6"/>
      <c r="D105" s="7"/>
      <c r="E105" s="7">
        <v>0.2</v>
      </c>
      <c r="F105" s="7"/>
      <c r="G105" s="7"/>
      <c r="H105" s="7"/>
      <c r="I105" s="7"/>
      <c r="J105" s="7"/>
      <c r="K105" s="7"/>
      <c r="L105" s="7"/>
      <c r="M105" s="7"/>
      <c r="N105" s="7">
        <v>1</v>
      </c>
      <c r="O105" s="7"/>
      <c r="P105" s="7"/>
      <c r="Q105" s="7"/>
      <c r="R105" s="7"/>
      <c r="S105" s="7"/>
      <c r="T105" s="7"/>
      <c r="U105" s="8">
        <v>1.2</v>
      </c>
    </row>
    <row r="106" spans="1:21" x14ac:dyDescent="0.25">
      <c r="A106" s="4"/>
      <c r="B106" s="6" t="s">
        <v>164</v>
      </c>
      <c r="C106" s="6"/>
      <c r="D106" s="7"/>
      <c r="E106" s="7"/>
      <c r="F106" s="7"/>
      <c r="G106" s="7"/>
      <c r="H106" s="7">
        <v>2</v>
      </c>
      <c r="I106" s="7"/>
      <c r="J106" s="7"/>
      <c r="K106" s="7">
        <v>2</v>
      </c>
      <c r="L106" s="7"/>
      <c r="M106" s="7"/>
      <c r="N106" s="7"/>
      <c r="O106" s="7"/>
      <c r="P106" s="7"/>
      <c r="Q106" s="7"/>
      <c r="R106" s="7"/>
      <c r="S106" s="7"/>
      <c r="T106" s="7"/>
      <c r="U106" s="8">
        <v>4</v>
      </c>
    </row>
    <row r="107" spans="1:21" x14ac:dyDescent="0.25">
      <c r="A107" s="4"/>
      <c r="B107" s="6" t="s">
        <v>165</v>
      </c>
      <c r="C107" s="6"/>
      <c r="D107" s="7"/>
      <c r="E107" s="7"/>
      <c r="F107" s="7">
        <v>2</v>
      </c>
      <c r="G107" s="7"/>
      <c r="H107" s="7">
        <v>5</v>
      </c>
      <c r="I107" s="7"/>
      <c r="J107" s="7"/>
      <c r="K107" s="7"/>
      <c r="L107" s="7"/>
      <c r="M107" s="7"/>
      <c r="N107" s="7"/>
      <c r="O107" s="7"/>
      <c r="P107" s="7"/>
      <c r="Q107" s="7"/>
      <c r="R107" s="7">
        <v>1</v>
      </c>
      <c r="S107" s="7"/>
      <c r="T107" s="7"/>
      <c r="U107" s="8">
        <v>8</v>
      </c>
    </row>
    <row r="108" spans="1:21" x14ac:dyDescent="0.25">
      <c r="A108" s="4"/>
      <c r="B108" s="6" t="s">
        <v>166</v>
      </c>
      <c r="C108" s="6"/>
      <c r="D108" s="7"/>
      <c r="E108" s="7"/>
      <c r="F108" s="7"/>
      <c r="G108" s="7"/>
      <c r="H108" s="7">
        <v>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>
        <v>1</v>
      </c>
    </row>
    <row r="109" spans="1:21" x14ac:dyDescent="0.25">
      <c r="A109" s="4"/>
      <c r="B109" s="6" t="s">
        <v>167</v>
      </c>
      <c r="C109" s="6"/>
      <c r="D109" s="7"/>
      <c r="E109" s="7"/>
      <c r="F109" s="7"/>
      <c r="G109" s="7"/>
      <c r="H109" s="7">
        <v>1</v>
      </c>
      <c r="I109" s="7"/>
      <c r="J109" s="7"/>
      <c r="K109" s="7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8">
        <v>2</v>
      </c>
    </row>
    <row r="110" spans="1:21" x14ac:dyDescent="0.25">
      <c r="A110" s="4"/>
      <c r="B110" s="5" t="s">
        <v>168</v>
      </c>
      <c r="C110" s="6">
        <v>2</v>
      </c>
      <c r="D110" s="7">
        <v>1.25</v>
      </c>
      <c r="E110" s="7">
        <v>1.25</v>
      </c>
      <c r="F110" s="7">
        <v>1</v>
      </c>
      <c r="G110" s="7">
        <v>1</v>
      </c>
      <c r="H110" s="7">
        <v>2</v>
      </c>
      <c r="I110" s="7">
        <v>1</v>
      </c>
      <c r="J110" s="7"/>
      <c r="K110" s="7">
        <v>1</v>
      </c>
      <c r="L110" s="7"/>
      <c r="M110" s="7"/>
      <c r="N110" s="7">
        <v>0.5</v>
      </c>
      <c r="O110" s="7"/>
      <c r="P110" s="7"/>
      <c r="Q110" s="7"/>
      <c r="R110" s="7"/>
      <c r="S110" s="7">
        <v>9</v>
      </c>
      <c r="T110" s="7"/>
      <c r="U110" s="8">
        <v>20</v>
      </c>
    </row>
    <row r="111" spans="1:21" x14ac:dyDescent="0.25">
      <c r="A111" s="4"/>
      <c r="B111" s="6" t="s">
        <v>169</v>
      </c>
      <c r="C111" s="6">
        <v>1</v>
      </c>
      <c r="D111" s="7"/>
      <c r="E111" s="7"/>
      <c r="F111" s="7"/>
      <c r="G111" s="7">
        <v>1</v>
      </c>
      <c r="H111" s="7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>
        <v>2</v>
      </c>
      <c r="T111" s="7">
        <v>1</v>
      </c>
      <c r="U111" s="8">
        <v>6</v>
      </c>
    </row>
    <row r="112" spans="1:21" x14ac:dyDescent="0.25">
      <c r="A112" s="4"/>
      <c r="B112" s="6" t="s">
        <v>170</v>
      </c>
      <c r="C112" s="6"/>
      <c r="D112" s="7"/>
      <c r="E112" s="7"/>
      <c r="F112" s="7"/>
      <c r="G112" s="7">
        <v>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>
        <v>1</v>
      </c>
    </row>
    <row r="113" spans="1:21" x14ac:dyDescent="0.25">
      <c r="A113" s="4"/>
      <c r="B113" s="6" t="s">
        <v>171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>
        <v>2</v>
      </c>
      <c r="S113" s="7"/>
      <c r="T113" s="7"/>
      <c r="U113" s="8">
        <v>2</v>
      </c>
    </row>
    <row r="114" spans="1:21" x14ac:dyDescent="0.25">
      <c r="A114" s="4"/>
      <c r="B114" s="6" t="s">
        <v>172</v>
      </c>
      <c r="C114" s="6">
        <v>2.125</v>
      </c>
      <c r="D114" s="7"/>
      <c r="E114" s="7">
        <v>0.65</v>
      </c>
      <c r="F114" s="7">
        <v>1</v>
      </c>
      <c r="G114" s="7">
        <v>1</v>
      </c>
      <c r="H114" s="7">
        <v>3</v>
      </c>
      <c r="I114" s="7"/>
      <c r="J114" s="7"/>
      <c r="K114" s="7"/>
      <c r="L114" s="7"/>
      <c r="M114" s="7"/>
      <c r="N114" s="7">
        <v>0.35</v>
      </c>
      <c r="O114" s="7"/>
      <c r="P114" s="7"/>
      <c r="Q114" s="7"/>
      <c r="R114" s="7"/>
      <c r="S114" s="7">
        <v>1</v>
      </c>
      <c r="T114" s="7"/>
      <c r="U114" s="8">
        <v>9.125</v>
      </c>
    </row>
    <row r="115" spans="1:21" x14ac:dyDescent="0.25">
      <c r="A115" s="4"/>
      <c r="B115" s="6" t="s">
        <v>72</v>
      </c>
      <c r="C115" s="6"/>
      <c r="D115" s="7"/>
      <c r="E115" s="7"/>
      <c r="F115" s="7">
        <v>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1</v>
      </c>
      <c r="R115" s="7"/>
      <c r="S115" s="7"/>
      <c r="T115" s="7"/>
      <c r="U115" s="8">
        <v>4</v>
      </c>
    </row>
    <row r="116" spans="1:21" x14ac:dyDescent="0.25">
      <c r="A116" s="4"/>
      <c r="B116" s="6" t="s">
        <v>81</v>
      </c>
      <c r="C116" s="6">
        <v>1</v>
      </c>
      <c r="D116" s="7">
        <v>0.25</v>
      </c>
      <c r="E116" s="7"/>
      <c r="F116" s="7">
        <v>1</v>
      </c>
      <c r="G116" s="7"/>
      <c r="H116" s="7">
        <v>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>
        <v>3.25</v>
      </c>
    </row>
    <row r="117" spans="1:21" x14ac:dyDescent="0.25">
      <c r="A117" s="4"/>
      <c r="B117" s="6" t="s">
        <v>82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>
        <v>2</v>
      </c>
      <c r="Q117" s="7"/>
      <c r="R117" s="7"/>
      <c r="S117" s="7"/>
      <c r="T117" s="7"/>
      <c r="U117" s="8">
        <v>2</v>
      </c>
    </row>
    <row r="118" spans="1:21" x14ac:dyDescent="0.25">
      <c r="A118" s="4"/>
      <c r="B118" s="6" t="s">
        <v>173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>
        <v>1</v>
      </c>
      <c r="Q118" s="7"/>
      <c r="R118" s="7"/>
      <c r="S118" s="7"/>
      <c r="T118" s="7"/>
      <c r="U118" s="8">
        <v>1</v>
      </c>
    </row>
    <row r="119" spans="1:21" x14ac:dyDescent="0.25">
      <c r="A119" s="4"/>
      <c r="B119" s="6" t="s">
        <v>89</v>
      </c>
      <c r="C119" s="6"/>
      <c r="D119" s="7">
        <v>1</v>
      </c>
      <c r="E119" s="7"/>
      <c r="F119" s="7">
        <v>3</v>
      </c>
      <c r="G119" s="7"/>
      <c r="H119" s="7"/>
      <c r="I119" s="7"/>
      <c r="J119" s="7"/>
      <c r="K119" s="7"/>
      <c r="L119" s="7"/>
      <c r="M119" s="7"/>
      <c r="N119" s="7"/>
      <c r="O119" s="7"/>
      <c r="P119" s="7">
        <v>1</v>
      </c>
      <c r="Q119" s="7"/>
      <c r="R119" s="7"/>
      <c r="S119" s="7"/>
      <c r="T119" s="7"/>
      <c r="U119" s="8">
        <v>5</v>
      </c>
    </row>
    <row r="120" spans="1:21" x14ac:dyDescent="0.25">
      <c r="A120" s="4"/>
      <c r="B120" s="5" t="s">
        <v>91</v>
      </c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>
        <v>1</v>
      </c>
      <c r="Q120" s="7"/>
      <c r="R120" s="7"/>
      <c r="S120" s="7"/>
      <c r="T120" s="7"/>
      <c r="U120" s="8">
        <v>1</v>
      </c>
    </row>
    <row r="121" spans="1:21" x14ac:dyDescent="0.25">
      <c r="A121" s="4"/>
      <c r="B121" s="6" t="s">
        <v>174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>
        <v>9</v>
      </c>
      <c r="Q121" s="7"/>
      <c r="R121" s="7"/>
      <c r="S121" s="7"/>
      <c r="T121" s="7"/>
      <c r="U121" s="8">
        <v>9</v>
      </c>
    </row>
    <row r="122" spans="1:21" x14ac:dyDescent="0.25">
      <c r="A122" s="4"/>
      <c r="B122" s="6" t="s">
        <v>175</v>
      </c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>
        <v>1</v>
      </c>
      <c r="Q122" s="7"/>
      <c r="R122" s="7"/>
      <c r="S122" s="7"/>
      <c r="T122" s="7"/>
      <c r="U122" s="8">
        <v>1</v>
      </c>
    </row>
    <row r="123" spans="1:21" x14ac:dyDescent="0.25">
      <c r="A123" s="4"/>
      <c r="B123" s="6" t="s">
        <v>94</v>
      </c>
      <c r="C123" s="6"/>
      <c r="D123" s="7">
        <v>1</v>
      </c>
      <c r="E123" s="7"/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>
        <v>2</v>
      </c>
    </row>
    <row r="124" spans="1:21" x14ac:dyDescent="0.25">
      <c r="A124" s="9" t="s">
        <v>18</v>
      </c>
      <c r="B124" s="10"/>
      <c r="C124" s="9">
        <v>112.675</v>
      </c>
      <c r="D124" s="11">
        <v>10.5</v>
      </c>
      <c r="E124" s="11">
        <v>10.45</v>
      </c>
      <c r="F124" s="11">
        <v>27</v>
      </c>
      <c r="G124" s="11">
        <v>161</v>
      </c>
      <c r="H124" s="11">
        <v>97.35</v>
      </c>
      <c r="I124" s="11">
        <v>2</v>
      </c>
      <c r="J124" s="11">
        <v>8.3000000000000007</v>
      </c>
      <c r="K124" s="11">
        <v>16.5</v>
      </c>
      <c r="L124" s="11">
        <v>14</v>
      </c>
      <c r="M124" s="11">
        <v>2</v>
      </c>
      <c r="N124" s="11">
        <v>7.6</v>
      </c>
      <c r="O124" s="11">
        <v>0.1</v>
      </c>
      <c r="P124" s="11">
        <v>31</v>
      </c>
      <c r="Q124" s="11">
        <v>1</v>
      </c>
      <c r="R124" s="11">
        <v>7</v>
      </c>
      <c r="S124" s="11">
        <v>58</v>
      </c>
      <c r="T124" s="11">
        <v>7.5</v>
      </c>
      <c r="U124" s="12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 x14ac:dyDescent="0.25"/>
  <cols>
    <col min="1" max="1" width="26.5703125" customWidth="1"/>
    <col min="2" max="2" width="43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43</v>
      </c>
      <c r="S1" s="2" t="s">
        <v>17</v>
      </c>
      <c r="T1" s="3" t="s">
        <v>18</v>
      </c>
    </row>
    <row r="2" spans="1:20" x14ac:dyDescent="0.25">
      <c r="A2" s="1" t="s">
        <v>176</v>
      </c>
      <c r="B2" s="1" t="s">
        <v>177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1</v>
      </c>
    </row>
    <row r="3" spans="1:20" x14ac:dyDescent="0.25">
      <c r="A3" s="4"/>
      <c r="B3" s="6" t="s">
        <v>178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>
        <v>1</v>
      </c>
    </row>
    <row r="4" spans="1:20" x14ac:dyDescent="0.25">
      <c r="A4" s="4"/>
      <c r="B4" s="1" t="s">
        <v>179</v>
      </c>
      <c r="C4" s="1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3">
        <v>1</v>
      </c>
    </row>
    <row r="5" spans="1:20" x14ac:dyDescent="0.25">
      <c r="A5" s="4"/>
      <c r="B5" s="6" t="s">
        <v>180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</v>
      </c>
      <c r="R5" s="7"/>
      <c r="S5" s="7"/>
      <c r="T5" s="8">
        <v>2</v>
      </c>
    </row>
    <row r="6" spans="1:20" x14ac:dyDescent="0.25">
      <c r="A6" s="4"/>
      <c r="B6" s="6" t="s">
        <v>181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</v>
      </c>
      <c r="P6" s="7"/>
      <c r="Q6" s="7"/>
      <c r="R6" s="7"/>
      <c r="S6" s="7"/>
      <c r="T6" s="8">
        <v>1</v>
      </c>
    </row>
    <row r="7" spans="1:20" x14ac:dyDescent="0.25">
      <c r="A7" s="4"/>
      <c r="B7" s="6" t="s">
        <v>182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8">
        <v>1</v>
      </c>
    </row>
    <row r="8" spans="1:20" x14ac:dyDescent="0.25">
      <c r="A8" s="4"/>
      <c r="B8" s="6" t="s">
        <v>183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>
        <v>1</v>
      </c>
    </row>
    <row r="9" spans="1:20" x14ac:dyDescent="0.25">
      <c r="A9" s="4"/>
      <c r="B9" s="5" t="s">
        <v>184</v>
      </c>
      <c r="C9" s="6">
        <v>1</v>
      </c>
      <c r="D9" s="7">
        <v>1</v>
      </c>
      <c r="E9" s="7">
        <v>9.65</v>
      </c>
      <c r="F9" s="7">
        <v>6</v>
      </c>
      <c r="G9" s="7">
        <v>68</v>
      </c>
      <c r="H9" s="7">
        <v>2.5</v>
      </c>
      <c r="I9" s="7">
        <v>3</v>
      </c>
      <c r="J9" s="7"/>
      <c r="K9" s="7"/>
      <c r="L9" s="7"/>
      <c r="M9" s="7"/>
      <c r="N9" s="7">
        <v>3.65</v>
      </c>
      <c r="O9" s="7">
        <v>1</v>
      </c>
      <c r="P9" s="7">
        <v>9</v>
      </c>
      <c r="Q9" s="7"/>
      <c r="R9" s="7"/>
      <c r="S9" s="7">
        <v>8</v>
      </c>
      <c r="T9" s="8">
        <v>112.8</v>
      </c>
    </row>
    <row r="10" spans="1:20" x14ac:dyDescent="0.25">
      <c r="A10" s="4"/>
      <c r="B10" s="6" t="s">
        <v>185</v>
      </c>
      <c r="C10" s="6">
        <v>13.5</v>
      </c>
      <c r="D10" s="7"/>
      <c r="E10" s="7"/>
      <c r="F10" s="7"/>
      <c r="G10" s="7">
        <v>9</v>
      </c>
      <c r="H10" s="7">
        <v>11</v>
      </c>
      <c r="I10" s="7"/>
      <c r="J10" s="7"/>
      <c r="K10" s="7"/>
      <c r="L10" s="7"/>
      <c r="M10" s="7"/>
      <c r="N10" s="7"/>
      <c r="O10" s="7"/>
      <c r="P10" s="7"/>
      <c r="Q10" s="7">
        <v>7</v>
      </c>
      <c r="R10" s="7"/>
      <c r="S10" s="7">
        <v>3</v>
      </c>
      <c r="T10" s="8">
        <v>43.5</v>
      </c>
    </row>
    <row r="11" spans="1:20" x14ac:dyDescent="0.25">
      <c r="A11" s="4"/>
      <c r="B11" s="6" t="s">
        <v>186</v>
      </c>
      <c r="C11" s="6">
        <v>7</v>
      </c>
      <c r="D11" s="7"/>
      <c r="E11" s="7"/>
      <c r="F11" s="7"/>
      <c r="G11" s="7">
        <v>4</v>
      </c>
      <c r="H11" s="7">
        <v>3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8">
        <v>16</v>
      </c>
    </row>
    <row r="12" spans="1:20" x14ac:dyDescent="0.25">
      <c r="A12" s="4"/>
      <c r="B12" s="6" t="s">
        <v>187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</v>
      </c>
      <c r="P12" s="7"/>
      <c r="Q12" s="7"/>
      <c r="R12" s="7"/>
      <c r="S12" s="7"/>
      <c r="T12" s="8">
        <v>1</v>
      </c>
    </row>
    <row r="13" spans="1:20" x14ac:dyDescent="0.25">
      <c r="A13" s="4"/>
      <c r="B13" s="6" t="s">
        <v>188</v>
      </c>
      <c r="C13" s="6"/>
      <c r="D13" s="7"/>
      <c r="E13" s="7"/>
      <c r="F13" s="7"/>
      <c r="G13" s="7"/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>
        <v>1</v>
      </c>
    </row>
    <row r="14" spans="1:20" x14ac:dyDescent="0.25">
      <c r="A14" s="4"/>
      <c r="B14" s="6" t="s">
        <v>189</v>
      </c>
      <c r="C14" s="6"/>
      <c r="D14" s="7"/>
      <c r="E14" s="7"/>
      <c r="F14" s="7"/>
      <c r="G14" s="7">
        <v>12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12</v>
      </c>
    </row>
    <row r="15" spans="1:20" x14ac:dyDescent="0.25">
      <c r="A15" s="4"/>
      <c r="B15" s="6" t="s">
        <v>190</v>
      </c>
      <c r="C15" s="6">
        <v>15</v>
      </c>
      <c r="D15" s="7"/>
      <c r="E15" s="7"/>
      <c r="F15" s="7">
        <v>11</v>
      </c>
      <c r="G15" s="7"/>
      <c r="H15" s="7">
        <v>27.5</v>
      </c>
      <c r="I15" s="7">
        <v>3</v>
      </c>
      <c r="J15" s="7">
        <v>5</v>
      </c>
      <c r="K15" s="7"/>
      <c r="L15" s="7"/>
      <c r="M15" s="7">
        <v>3</v>
      </c>
      <c r="N15" s="7"/>
      <c r="O15" s="7"/>
      <c r="P15" s="7">
        <v>1</v>
      </c>
      <c r="Q15" s="7"/>
      <c r="R15" s="7"/>
      <c r="S15" s="7">
        <v>9</v>
      </c>
      <c r="T15" s="8">
        <v>74.5</v>
      </c>
    </row>
    <row r="16" spans="1:20" x14ac:dyDescent="0.25">
      <c r="A16" s="4"/>
      <c r="B16" s="6" t="s">
        <v>191</v>
      </c>
      <c r="C16" s="6"/>
      <c r="D16" s="7"/>
      <c r="E16" s="7"/>
      <c r="F16" s="7"/>
      <c r="G16" s="7"/>
      <c r="H16" s="7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v>1</v>
      </c>
    </row>
    <row r="17" spans="1:20" x14ac:dyDescent="0.25">
      <c r="A17" s="4"/>
      <c r="B17" s="6" t="s">
        <v>192</v>
      </c>
      <c r="C17" s="6">
        <v>1</v>
      </c>
      <c r="D17" s="7"/>
      <c r="E17" s="7"/>
      <c r="F17" s="7"/>
      <c r="G17" s="7"/>
      <c r="H17" s="7">
        <v>6.2</v>
      </c>
      <c r="I17" s="7"/>
      <c r="J17" s="7">
        <v>1</v>
      </c>
      <c r="K17" s="7"/>
      <c r="L17" s="7"/>
      <c r="M17" s="7"/>
      <c r="N17" s="7"/>
      <c r="O17" s="7"/>
      <c r="P17" s="7">
        <v>3</v>
      </c>
      <c r="Q17" s="7"/>
      <c r="R17" s="7"/>
      <c r="S17" s="7"/>
      <c r="T17" s="8">
        <v>11.2</v>
      </c>
    </row>
    <row r="18" spans="1:20" x14ac:dyDescent="0.25">
      <c r="A18" s="4"/>
      <c r="B18" s="6" t="s">
        <v>193</v>
      </c>
      <c r="C18" s="6">
        <v>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>
        <v>3</v>
      </c>
    </row>
    <row r="19" spans="1:20" x14ac:dyDescent="0.25">
      <c r="A19" s="4"/>
      <c r="B19" s="6" t="s">
        <v>194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>
        <v>2</v>
      </c>
      <c r="N19" s="7"/>
      <c r="O19" s="7"/>
      <c r="P19" s="7"/>
      <c r="Q19" s="7"/>
      <c r="R19" s="7"/>
      <c r="S19" s="7"/>
      <c r="T19" s="8">
        <v>2</v>
      </c>
    </row>
    <row r="20" spans="1:20" x14ac:dyDescent="0.25">
      <c r="A20" s="4"/>
      <c r="B20" s="6" t="s">
        <v>195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2</v>
      </c>
      <c r="Q20" s="7"/>
      <c r="R20" s="7"/>
      <c r="S20" s="7"/>
      <c r="T20" s="8">
        <v>2</v>
      </c>
    </row>
    <row r="21" spans="1:20" x14ac:dyDescent="0.25">
      <c r="A21" s="4"/>
      <c r="B21" s="6" t="s">
        <v>196</v>
      </c>
      <c r="C21" s="6"/>
      <c r="D21" s="7"/>
      <c r="E21" s="7"/>
      <c r="F21" s="7"/>
      <c r="G21" s="7"/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</v>
      </c>
    </row>
    <row r="22" spans="1:20" x14ac:dyDescent="0.25">
      <c r="A22" s="4"/>
      <c r="B22" s="6" t="s">
        <v>197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>
        <v>1</v>
      </c>
    </row>
    <row r="23" spans="1:20" x14ac:dyDescent="0.25">
      <c r="A23" s="4"/>
      <c r="B23" s="6" t="s">
        <v>198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2</v>
      </c>
      <c r="R23" s="7"/>
      <c r="S23" s="7"/>
      <c r="T23" s="8">
        <v>2</v>
      </c>
    </row>
    <row r="24" spans="1:20" x14ac:dyDescent="0.25">
      <c r="A24" s="4"/>
      <c r="B24" s="6" t="s">
        <v>199</v>
      </c>
      <c r="C24" s="6"/>
      <c r="D24" s="7"/>
      <c r="E24" s="7"/>
      <c r="F24" s="7"/>
      <c r="G24" s="7"/>
      <c r="H24" s="7"/>
      <c r="I24" s="7"/>
      <c r="J24" s="7">
        <v>2</v>
      </c>
      <c r="K24" s="7"/>
      <c r="L24" s="7"/>
      <c r="M24" s="7">
        <v>1</v>
      </c>
      <c r="N24" s="7"/>
      <c r="O24" s="7"/>
      <c r="P24" s="7"/>
      <c r="Q24" s="7"/>
      <c r="R24" s="7"/>
      <c r="S24" s="7"/>
      <c r="T24" s="8">
        <v>3</v>
      </c>
    </row>
    <row r="25" spans="1:20" x14ac:dyDescent="0.25">
      <c r="A25" s="4"/>
      <c r="B25" s="6" t="s">
        <v>200</v>
      </c>
      <c r="C25" s="6"/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8">
        <v>1</v>
      </c>
    </row>
    <row r="26" spans="1:20" x14ac:dyDescent="0.25">
      <c r="A26" s="4"/>
      <c r="B26" s="5" t="s">
        <v>201</v>
      </c>
      <c r="C26" s="6">
        <v>3.5</v>
      </c>
      <c r="D26" s="7"/>
      <c r="E26" s="7"/>
      <c r="F26" s="7"/>
      <c r="G26" s="7"/>
      <c r="H26" s="7">
        <v>6</v>
      </c>
      <c r="I26" s="7"/>
      <c r="J26" s="7"/>
      <c r="K26" s="7">
        <v>1</v>
      </c>
      <c r="L26" s="7">
        <v>1</v>
      </c>
      <c r="M26" s="7">
        <v>2</v>
      </c>
      <c r="N26" s="7"/>
      <c r="O26" s="7"/>
      <c r="P26" s="7"/>
      <c r="Q26" s="7">
        <v>1</v>
      </c>
      <c r="R26" s="7"/>
      <c r="S26" s="7"/>
      <c r="T26" s="8">
        <v>14.5</v>
      </c>
    </row>
    <row r="27" spans="1:20" x14ac:dyDescent="0.25">
      <c r="A27" s="4"/>
      <c r="B27" s="6" t="s">
        <v>202</v>
      </c>
      <c r="C27" s="6">
        <v>6</v>
      </c>
      <c r="D27" s="7"/>
      <c r="E27" s="7"/>
      <c r="F27" s="7"/>
      <c r="G27" s="7"/>
      <c r="H27" s="7">
        <v>2</v>
      </c>
      <c r="I27" s="7"/>
      <c r="J27" s="7">
        <v>2</v>
      </c>
      <c r="K27" s="7"/>
      <c r="L27" s="7"/>
      <c r="M27" s="7"/>
      <c r="N27" s="7"/>
      <c r="O27" s="7"/>
      <c r="P27" s="7"/>
      <c r="Q27" s="7">
        <v>3</v>
      </c>
      <c r="R27" s="7"/>
      <c r="S27" s="7"/>
      <c r="T27" s="8">
        <v>13</v>
      </c>
    </row>
    <row r="28" spans="1:20" x14ac:dyDescent="0.25">
      <c r="A28" s="4"/>
      <c r="B28" s="6" t="s">
        <v>203</v>
      </c>
      <c r="C28" s="6"/>
      <c r="D28" s="7"/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>
        <v>1</v>
      </c>
    </row>
    <row r="29" spans="1:20" x14ac:dyDescent="0.25">
      <c r="A29" s="4"/>
      <c r="B29" s="6" t="s">
        <v>204</v>
      </c>
      <c r="C29" s="6"/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v>1</v>
      </c>
    </row>
    <row r="30" spans="1:20" x14ac:dyDescent="0.25">
      <c r="A30" s="4"/>
      <c r="B30" s="6" t="s">
        <v>205</v>
      </c>
      <c r="C30" s="6"/>
      <c r="D30" s="7"/>
      <c r="E30" s="7"/>
      <c r="F30" s="7"/>
      <c r="G30" s="7"/>
      <c r="H30" s="7">
        <v>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>
        <v>2</v>
      </c>
    </row>
    <row r="31" spans="1:20" x14ac:dyDescent="0.25">
      <c r="A31" s="4"/>
      <c r="B31" s="6" t="s">
        <v>206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8">
        <v>1</v>
      </c>
    </row>
    <row r="32" spans="1:20" x14ac:dyDescent="0.25">
      <c r="A32" s="4"/>
      <c r="B32" s="6" t="s">
        <v>207</v>
      </c>
      <c r="C32" s="6"/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>
        <v>1</v>
      </c>
    </row>
    <row r="33" spans="1:20" x14ac:dyDescent="0.25">
      <c r="A33" s="4"/>
      <c r="B33" s="6" t="s">
        <v>208</v>
      </c>
      <c r="C33" s="6">
        <v>0.5</v>
      </c>
      <c r="D33" s="7">
        <v>1</v>
      </c>
      <c r="E33" s="7">
        <v>0.1</v>
      </c>
      <c r="F33" s="7">
        <v>2</v>
      </c>
      <c r="G33" s="7"/>
      <c r="H33" s="7"/>
      <c r="I33" s="7"/>
      <c r="J33" s="7"/>
      <c r="K33" s="7">
        <v>2</v>
      </c>
      <c r="L33" s="7"/>
      <c r="M33" s="7"/>
      <c r="N33" s="7"/>
      <c r="O33" s="7"/>
      <c r="P33" s="7"/>
      <c r="Q33" s="7">
        <v>1</v>
      </c>
      <c r="R33" s="7"/>
      <c r="S33" s="7">
        <v>1</v>
      </c>
      <c r="T33" s="8">
        <v>7.6</v>
      </c>
    </row>
    <row r="34" spans="1:20" x14ac:dyDescent="0.25">
      <c r="A34" s="4"/>
      <c r="B34" s="6" t="s">
        <v>209</v>
      </c>
      <c r="C34" s="6"/>
      <c r="D34" s="7"/>
      <c r="E34" s="7"/>
      <c r="F34" s="7"/>
      <c r="G34" s="7"/>
      <c r="H34" s="7">
        <v>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>
        <v>2</v>
      </c>
    </row>
    <row r="35" spans="1:20" x14ac:dyDescent="0.25">
      <c r="A35" s="4"/>
      <c r="B35" s="6" t="s">
        <v>210</v>
      </c>
      <c r="C35" s="6"/>
      <c r="D35" s="7">
        <v>1</v>
      </c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>
        <v>2</v>
      </c>
    </row>
    <row r="36" spans="1:20" x14ac:dyDescent="0.25">
      <c r="A36" s="4"/>
      <c r="B36" s="6" t="s">
        <v>211</v>
      </c>
      <c r="C36" s="6"/>
      <c r="D36" s="7"/>
      <c r="E36" s="7"/>
      <c r="F36" s="7"/>
      <c r="G36" s="7"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v>0.5</v>
      </c>
      <c r="T36" s="8">
        <v>1.5</v>
      </c>
    </row>
    <row r="37" spans="1:20" x14ac:dyDescent="0.25">
      <c r="A37" s="4"/>
      <c r="B37" s="6" t="s">
        <v>212</v>
      </c>
      <c r="C37" s="6"/>
      <c r="D37" s="7"/>
      <c r="E37" s="7">
        <v>0.2</v>
      </c>
      <c r="F37" s="7"/>
      <c r="G37" s="7"/>
      <c r="H37" s="7">
        <v>0.5</v>
      </c>
      <c r="I37" s="7"/>
      <c r="J37" s="7"/>
      <c r="K37" s="7"/>
      <c r="L37" s="7"/>
      <c r="M37" s="7"/>
      <c r="N37" s="7">
        <v>0.2</v>
      </c>
      <c r="O37" s="7"/>
      <c r="P37" s="7"/>
      <c r="Q37" s="7"/>
      <c r="R37" s="7"/>
      <c r="S37" s="7">
        <v>0.2</v>
      </c>
      <c r="T37" s="8">
        <v>1.1000000000000001</v>
      </c>
    </row>
    <row r="38" spans="1:20" x14ac:dyDescent="0.25">
      <c r="A38" s="4"/>
      <c r="B38" s="6" t="s">
        <v>213</v>
      </c>
      <c r="C38" s="6">
        <v>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>
        <v>1</v>
      </c>
    </row>
    <row r="39" spans="1:20" x14ac:dyDescent="0.25">
      <c r="A39" s="4"/>
      <c r="B39" s="6" t="s">
        <v>214</v>
      </c>
      <c r="C39" s="6">
        <v>1</v>
      </c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>
        <v>2</v>
      </c>
    </row>
    <row r="40" spans="1:20" x14ac:dyDescent="0.25">
      <c r="A40" s="4"/>
      <c r="B40" s="6" t="s">
        <v>215</v>
      </c>
      <c r="C40" s="6">
        <v>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>
        <v>1</v>
      </c>
      <c r="Q40" s="7"/>
      <c r="R40" s="7"/>
      <c r="S40" s="7"/>
      <c r="T40" s="8">
        <v>2</v>
      </c>
    </row>
    <row r="41" spans="1:20" x14ac:dyDescent="0.25">
      <c r="A41" s="4"/>
      <c r="B41" s="6" t="s">
        <v>216</v>
      </c>
      <c r="C41" s="6"/>
      <c r="D41" s="7"/>
      <c r="E41" s="7"/>
      <c r="F41" s="7">
        <v>0.25</v>
      </c>
      <c r="G41" s="7"/>
      <c r="H41" s="7">
        <v>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>
        <v>3.25</v>
      </c>
    </row>
    <row r="42" spans="1:20" x14ac:dyDescent="0.25">
      <c r="A42" s="4"/>
      <c r="B42" s="6" t="s">
        <v>177</v>
      </c>
      <c r="C42" s="6"/>
      <c r="D42" s="7"/>
      <c r="E42" s="7"/>
      <c r="F42" s="7"/>
      <c r="G42" s="7"/>
      <c r="H42" s="7"/>
      <c r="I42" s="7"/>
      <c r="J42" s="7"/>
      <c r="K42" s="7">
        <v>1</v>
      </c>
      <c r="L42" s="7"/>
      <c r="M42" s="7"/>
      <c r="N42" s="7"/>
      <c r="O42" s="7"/>
      <c r="P42" s="7"/>
      <c r="Q42" s="7"/>
      <c r="R42" s="7"/>
      <c r="S42" s="7">
        <v>0.25</v>
      </c>
      <c r="T42" s="8">
        <v>1.25</v>
      </c>
    </row>
    <row r="43" spans="1:20" x14ac:dyDescent="0.25">
      <c r="A43" s="4"/>
      <c r="B43" s="6" t="s">
        <v>217</v>
      </c>
      <c r="C43" s="6"/>
      <c r="D43" s="7">
        <v>0.5</v>
      </c>
      <c r="E43" s="7"/>
      <c r="F43" s="7">
        <v>1</v>
      </c>
      <c r="G43" s="7"/>
      <c r="H43" s="7">
        <v>1</v>
      </c>
      <c r="I43" s="7"/>
      <c r="J43" s="7"/>
      <c r="K43" s="7"/>
      <c r="L43" s="7"/>
      <c r="M43" s="7"/>
      <c r="N43" s="7"/>
      <c r="O43" s="7"/>
      <c r="P43" s="7">
        <v>1</v>
      </c>
      <c r="Q43" s="7">
        <v>0.25</v>
      </c>
      <c r="R43" s="7"/>
      <c r="S43" s="7">
        <v>1</v>
      </c>
      <c r="T43" s="8">
        <v>4.75</v>
      </c>
    </row>
    <row r="44" spans="1:20" x14ac:dyDescent="0.25">
      <c r="A44" s="4"/>
      <c r="B44" s="6" t="s">
        <v>218</v>
      </c>
      <c r="C44" s="6">
        <v>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>
        <v>2</v>
      </c>
    </row>
    <row r="45" spans="1:20" x14ac:dyDescent="0.25">
      <c r="A45" s="4"/>
      <c r="B45" s="6" t="s">
        <v>219</v>
      </c>
      <c r="C45" s="6"/>
      <c r="D45" s="7">
        <v>1</v>
      </c>
      <c r="E45" s="7"/>
      <c r="F45" s="7"/>
      <c r="G45" s="7">
        <v>2</v>
      </c>
      <c r="H45" s="7">
        <v>2</v>
      </c>
      <c r="I45" s="7"/>
      <c r="J45" s="7"/>
      <c r="K45" s="7"/>
      <c r="L45" s="7"/>
      <c r="M45" s="7"/>
      <c r="N45" s="7"/>
      <c r="O45" s="7"/>
      <c r="P45" s="7">
        <v>1</v>
      </c>
      <c r="Q45" s="7">
        <v>0.2</v>
      </c>
      <c r="R45" s="7"/>
      <c r="S45" s="7"/>
      <c r="T45" s="8">
        <v>6.2</v>
      </c>
    </row>
    <row r="46" spans="1:20" x14ac:dyDescent="0.25">
      <c r="A46" s="4"/>
      <c r="B46" s="6" t="s">
        <v>220</v>
      </c>
      <c r="C46" s="6"/>
      <c r="D46" s="7"/>
      <c r="E46" s="7"/>
      <c r="F46" s="7"/>
      <c r="G46" s="7"/>
      <c r="H46" s="7"/>
      <c r="I46" s="7"/>
      <c r="J46" s="7"/>
      <c r="K46" s="7">
        <v>1</v>
      </c>
      <c r="L46" s="7"/>
      <c r="M46" s="7"/>
      <c r="N46" s="7"/>
      <c r="O46" s="7"/>
      <c r="P46" s="7"/>
      <c r="Q46" s="7"/>
      <c r="R46" s="7"/>
      <c r="S46" s="7"/>
      <c r="T46" s="8">
        <v>1</v>
      </c>
    </row>
    <row r="47" spans="1:20" x14ac:dyDescent="0.25">
      <c r="A47" s="4"/>
      <c r="B47" s="6" t="s">
        <v>221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>
        <v>2</v>
      </c>
    </row>
    <row r="48" spans="1:20" x14ac:dyDescent="0.25">
      <c r="A48" s="4"/>
      <c r="B48" s="6" t="s">
        <v>222</v>
      </c>
      <c r="C48" s="6">
        <v>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>
        <v>1</v>
      </c>
    </row>
    <row r="49" spans="1:20" x14ac:dyDescent="0.25">
      <c r="A49" s="4"/>
      <c r="B49" s="6" t="s">
        <v>223</v>
      </c>
      <c r="C49" s="6"/>
      <c r="D49" s="7"/>
      <c r="E49" s="7"/>
      <c r="F49" s="7"/>
      <c r="G49" s="7"/>
      <c r="H49" s="7"/>
      <c r="I49" s="7"/>
      <c r="J49" s="7"/>
      <c r="K49" s="7">
        <v>1</v>
      </c>
      <c r="L49" s="7"/>
      <c r="M49" s="7"/>
      <c r="N49" s="7"/>
      <c r="O49" s="7"/>
      <c r="P49" s="7"/>
      <c r="Q49" s="7"/>
      <c r="R49" s="7"/>
      <c r="S49" s="7">
        <v>0.5</v>
      </c>
      <c r="T49" s="8">
        <v>1.5</v>
      </c>
    </row>
    <row r="50" spans="1:20" x14ac:dyDescent="0.25">
      <c r="A50" s="4"/>
      <c r="B50" s="6" t="s">
        <v>224</v>
      </c>
      <c r="C50" s="6">
        <v>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0.5</v>
      </c>
      <c r="O50" s="7"/>
      <c r="P50" s="7"/>
      <c r="Q50" s="7"/>
      <c r="R50" s="7"/>
      <c r="S50" s="7"/>
      <c r="T50" s="8">
        <v>1.5</v>
      </c>
    </row>
    <row r="51" spans="1:20" x14ac:dyDescent="0.25">
      <c r="A51" s="4"/>
      <c r="B51" s="6" t="s">
        <v>225</v>
      </c>
      <c r="C51" s="6">
        <v>2</v>
      </c>
      <c r="D51" s="7"/>
      <c r="E51" s="7"/>
      <c r="F51" s="7"/>
      <c r="G51" s="7"/>
      <c r="H51" s="7"/>
      <c r="I51" s="7"/>
      <c r="J51" s="7"/>
      <c r="K51" s="7">
        <v>0.25</v>
      </c>
      <c r="L51" s="7"/>
      <c r="M51" s="7"/>
      <c r="N51" s="7"/>
      <c r="O51" s="7"/>
      <c r="P51" s="7"/>
      <c r="Q51" s="7"/>
      <c r="R51" s="7"/>
      <c r="S51" s="7"/>
      <c r="T51" s="8">
        <v>2.25</v>
      </c>
    </row>
    <row r="52" spans="1:20" x14ac:dyDescent="0.25">
      <c r="A52" s="4"/>
      <c r="B52" s="6" t="s">
        <v>226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>
        <v>1</v>
      </c>
    </row>
    <row r="53" spans="1:20" x14ac:dyDescent="0.25">
      <c r="A53" s="4"/>
      <c r="B53" s="6" t="s">
        <v>227</v>
      </c>
      <c r="C53" s="6"/>
      <c r="D53" s="7"/>
      <c r="E53" s="7"/>
      <c r="F53" s="7"/>
      <c r="G53" s="7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>
        <v>1</v>
      </c>
    </row>
    <row r="54" spans="1:20" x14ac:dyDescent="0.25">
      <c r="A54" s="4"/>
      <c r="B54" s="6" t="s">
        <v>228</v>
      </c>
      <c r="C54" s="6"/>
      <c r="D54" s="7"/>
      <c r="E54" s="7"/>
      <c r="F54" s="7"/>
      <c r="G54" s="7"/>
      <c r="H54" s="7">
        <v>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>
        <v>2</v>
      </c>
    </row>
    <row r="55" spans="1:20" x14ac:dyDescent="0.25">
      <c r="A55" s="4"/>
      <c r="B55" s="6" t="s">
        <v>229</v>
      </c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</v>
      </c>
      <c r="R55" s="7"/>
      <c r="S55" s="7"/>
      <c r="T55" s="8">
        <v>2</v>
      </c>
    </row>
    <row r="56" spans="1:20" x14ac:dyDescent="0.25">
      <c r="A56" s="4"/>
      <c r="B56" s="6" t="s">
        <v>230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1</v>
      </c>
      <c r="T56" s="8">
        <v>1</v>
      </c>
    </row>
    <row r="57" spans="1:20" x14ac:dyDescent="0.25">
      <c r="A57" s="4"/>
      <c r="B57" s="6" t="s">
        <v>231</v>
      </c>
      <c r="C57" s="6">
        <v>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>
        <v>1</v>
      </c>
    </row>
    <row r="58" spans="1:20" x14ac:dyDescent="0.25">
      <c r="A58" s="4"/>
      <c r="B58" s="6" t="s">
        <v>232</v>
      </c>
      <c r="C58" s="6"/>
      <c r="D58" s="7"/>
      <c r="E58" s="7"/>
      <c r="F58" s="7"/>
      <c r="G58" s="7"/>
      <c r="H58" s="7"/>
      <c r="I58" s="7"/>
      <c r="J58" s="7"/>
      <c r="K58" s="7">
        <v>1</v>
      </c>
      <c r="L58" s="7"/>
      <c r="M58" s="7"/>
      <c r="N58" s="7"/>
      <c r="O58" s="7"/>
      <c r="P58" s="7"/>
      <c r="Q58" s="7"/>
      <c r="R58" s="7"/>
      <c r="S58" s="7"/>
      <c r="T58" s="8">
        <v>1</v>
      </c>
    </row>
    <row r="59" spans="1:20" x14ac:dyDescent="0.25">
      <c r="A59" s="4"/>
      <c r="B59" s="6" t="s">
        <v>233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1</v>
      </c>
      <c r="T59" s="8">
        <v>1</v>
      </c>
    </row>
    <row r="60" spans="1:20" x14ac:dyDescent="0.25">
      <c r="A60" s="4"/>
      <c r="B60" s="6" t="s">
        <v>234</v>
      </c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8">
        <v>1</v>
      </c>
    </row>
    <row r="61" spans="1:20" x14ac:dyDescent="0.25">
      <c r="A61" s="4"/>
      <c r="B61" s="6" t="s">
        <v>235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/>
      <c r="O61" s="7"/>
      <c r="P61" s="7"/>
      <c r="Q61" s="7"/>
      <c r="R61" s="7"/>
      <c r="S61" s="7"/>
      <c r="T61" s="8">
        <v>2</v>
      </c>
    </row>
    <row r="62" spans="1:20" x14ac:dyDescent="0.25">
      <c r="A62" s="4"/>
      <c r="B62" s="6" t="s">
        <v>236</v>
      </c>
      <c r="C62" s="6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7</v>
      </c>
      <c r="T62" s="8">
        <v>8</v>
      </c>
    </row>
    <row r="63" spans="1:20" x14ac:dyDescent="0.25">
      <c r="A63" s="4"/>
      <c r="B63" s="6" t="s">
        <v>237</v>
      </c>
      <c r="C63" s="6"/>
      <c r="D63" s="7"/>
      <c r="E63" s="7"/>
      <c r="F63" s="7"/>
      <c r="G63" s="7"/>
      <c r="H63" s="7"/>
      <c r="I63" s="7"/>
      <c r="J63" s="7"/>
      <c r="K63" s="7">
        <v>2</v>
      </c>
      <c r="L63" s="7"/>
      <c r="M63" s="7"/>
      <c r="N63" s="7"/>
      <c r="O63" s="7"/>
      <c r="P63" s="7"/>
      <c r="Q63" s="7"/>
      <c r="R63" s="7"/>
      <c r="S63" s="7"/>
      <c r="T63" s="8">
        <v>2</v>
      </c>
    </row>
    <row r="64" spans="1:20" x14ac:dyDescent="0.25">
      <c r="A64" s="4"/>
      <c r="B64" s="6" t="s">
        <v>238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v>2</v>
      </c>
      <c r="O64" s="7"/>
      <c r="P64" s="7"/>
      <c r="Q64" s="7"/>
      <c r="R64" s="7"/>
      <c r="S64" s="7"/>
      <c r="T64" s="8">
        <v>2</v>
      </c>
    </row>
    <row r="65" spans="1:20" x14ac:dyDescent="0.25">
      <c r="A65" s="4"/>
      <c r="B65" s="6" t="s">
        <v>239</v>
      </c>
      <c r="C65" s="6"/>
      <c r="D65" s="7">
        <v>3</v>
      </c>
      <c r="E65" s="7">
        <v>1.4</v>
      </c>
      <c r="F65" s="7">
        <v>4</v>
      </c>
      <c r="G65" s="7">
        <v>1</v>
      </c>
      <c r="H65" s="7"/>
      <c r="I65" s="7"/>
      <c r="J65" s="7"/>
      <c r="K65" s="7"/>
      <c r="L65" s="7"/>
      <c r="M65" s="7"/>
      <c r="N65" s="7">
        <v>0.8</v>
      </c>
      <c r="O65" s="7"/>
      <c r="P65" s="7">
        <v>2</v>
      </c>
      <c r="Q65" s="7"/>
      <c r="R65" s="7"/>
      <c r="S65" s="7"/>
      <c r="T65" s="8">
        <v>12.2</v>
      </c>
    </row>
    <row r="66" spans="1:20" x14ac:dyDescent="0.25">
      <c r="A66" s="4"/>
      <c r="B66" s="6" t="s">
        <v>240</v>
      </c>
      <c r="C66" s="6"/>
      <c r="D66" s="7">
        <v>3</v>
      </c>
      <c r="E66" s="7"/>
      <c r="F66" s="7"/>
      <c r="G66" s="7"/>
      <c r="H66" s="7"/>
      <c r="I66" s="7"/>
      <c r="J66" s="7"/>
      <c r="K66" s="7"/>
      <c r="L66" s="7"/>
      <c r="M66" s="7"/>
      <c r="N66" s="7">
        <v>1</v>
      </c>
      <c r="O66" s="7"/>
      <c r="P66" s="7"/>
      <c r="Q66" s="7"/>
      <c r="R66" s="7"/>
      <c r="S66" s="7"/>
      <c r="T66" s="8">
        <v>4</v>
      </c>
    </row>
    <row r="67" spans="1:20" x14ac:dyDescent="0.25">
      <c r="A67" s="4"/>
      <c r="B67" s="6" t="s">
        <v>241</v>
      </c>
      <c r="C67" s="6"/>
      <c r="D67" s="7"/>
      <c r="E67" s="7">
        <v>1.75</v>
      </c>
      <c r="F67" s="7"/>
      <c r="G67" s="7"/>
      <c r="H67" s="7"/>
      <c r="I67" s="7"/>
      <c r="J67" s="7"/>
      <c r="K67" s="7"/>
      <c r="L67" s="7"/>
      <c r="M67" s="7"/>
      <c r="N67" s="7">
        <v>2</v>
      </c>
      <c r="O67" s="7"/>
      <c r="P67" s="7"/>
      <c r="Q67" s="7">
        <v>8</v>
      </c>
      <c r="R67" s="7"/>
      <c r="S67" s="7"/>
      <c r="T67" s="8">
        <v>11.75</v>
      </c>
    </row>
    <row r="68" spans="1:20" x14ac:dyDescent="0.25">
      <c r="A68" s="4"/>
      <c r="B68" s="6" t="s">
        <v>242</v>
      </c>
      <c r="C68" s="6"/>
      <c r="D68" s="7"/>
      <c r="E68" s="7"/>
      <c r="F68" s="7"/>
      <c r="G68" s="7"/>
      <c r="H68" s="7">
        <v>1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8">
        <v>2</v>
      </c>
    </row>
    <row r="69" spans="1:20" x14ac:dyDescent="0.25">
      <c r="A69" s="4"/>
      <c r="B69" s="6" t="s">
        <v>243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11</v>
      </c>
      <c r="R69" s="7"/>
      <c r="S69" s="7"/>
      <c r="T69" s="8">
        <v>11</v>
      </c>
    </row>
    <row r="70" spans="1:20" x14ac:dyDescent="0.25">
      <c r="A70" s="4"/>
      <c r="B70" s="6" t="s">
        <v>244</v>
      </c>
      <c r="C70" s="6">
        <v>2</v>
      </c>
      <c r="D70" s="7">
        <v>2</v>
      </c>
      <c r="E70" s="7"/>
      <c r="F70" s="7">
        <v>2</v>
      </c>
      <c r="G70" s="7">
        <v>1</v>
      </c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>
        <v>4</v>
      </c>
      <c r="T70" s="8">
        <v>12</v>
      </c>
    </row>
    <row r="71" spans="1:20" x14ac:dyDescent="0.25">
      <c r="A71" s="4"/>
      <c r="B71" s="6" t="s">
        <v>245</v>
      </c>
      <c r="C71" s="6"/>
      <c r="D71" s="7">
        <v>5</v>
      </c>
      <c r="E71" s="7"/>
      <c r="F71" s="7"/>
      <c r="G71" s="7"/>
      <c r="H71" s="7">
        <v>2</v>
      </c>
      <c r="I71" s="7"/>
      <c r="J71" s="7"/>
      <c r="K71" s="7">
        <v>5</v>
      </c>
      <c r="L71" s="7"/>
      <c r="M71" s="7"/>
      <c r="N71" s="7"/>
      <c r="O71" s="7"/>
      <c r="P71" s="7"/>
      <c r="Q71" s="7"/>
      <c r="R71" s="7"/>
      <c r="S71" s="7">
        <v>4</v>
      </c>
      <c r="T71" s="8">
        <v>16</v>
      </c>
    </row>
    <row r="72" spans="1:20" x14ac:dyDescent="0.25">
      <c r="A72" s="4"/>
      <c r="B72" s="6" t="s">
        <v>246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7</v>
      </c>
      <c r="O72" s="7"/>
      <c r="P72" s="7"/>
      <c r="Q72" s="7"/>
      <c r="R72" s="7"/>
      <c r="S72" s="7"/>
      <c r="T72" s="8">
        <v>7</v>
      </c>
    </row>
    <row r="73" spans="1:20" x14ac:dyDescent="0.25">
      <c r="A73" s="4"/>
      <c r="B73" s="6" t="s">
        <v>247</v>
      </c>
      <c r="C73" s="6"/>
      <c r="D73" s="7"/>
      <c r="E73" s="7"/>
      <c r="F73" s="7"/>
      <c r="G73" s="7"/>
      <c r="H73" s="7">
        <v>1</v>
      </c>
      <c r="I73" s="7"/>
      <c r="J73" s="7"/>
      <c r="K73" s="7">
        <v>1</v>
      </c>
      <c r="L73" s="7"/>
      <c r="M73" s="7"/>
      <c r="N73" s="7"/>
      <c r="O73" s="7"/>
      <c r="P73" s="7"/>
      <c r="Q73" s="7"/>
      <c r="R73" s="7"/>
      <c r="S73" s="7"/>
      <c r="T73" s="8">
        <v>2</v>
      </c>
    </row>
    <row r="74" spans="1:20" x14ac:dyDescent="0.25">
      <c r="A74" s="4"/>
      <c r="B74" s="6" t="s">
        <v>248</v>
      </c>
      <c r="C74" s="6"/>
      <c r="D74" s="7"/>
      <c r="E74" s="7"/>
      <c r="F74" s="7"/>
      <c r="G74" s="7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>
        <v>1</v>
      </c>
    </row>
    <row r="75" spans="1:20" x14ac:dyDescent="0.25">
      <c r="A75" s="4"/>
      <c r="B75" s="6" t="s">
        <v>249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>
        <v>0.5</v>
      </c>
      <c r="M75" s="7"/>
      <c r="N75" s="7"/>
      <c r="O75" s="7"/>
      <c r="P75" s="7"/>
      <c r="Q75" s="7"/>
      <c r="R75" s="7"/>
      <c r="S75" s="7"/>
      <c r="T75" s="8">
        <v>1.5</v>
      </c>
    </row>
    <row r="76" spans="1:20" x14ac:dyDescent="0.25">
      <c r="A76" s="4"/>
      <c r="B76" s="6" t="s">
        <v>250</v>
      </c>
      <c r="C76" s="6"/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>
        <v>2</v>
      </c>
    </row>
    <row r="77" spans="1:20" x14ac:dyDescent="0.25">
      <c r="A77" s="4"/>
      <c r="B77" s="6" t="s">
        <v>251</v>
      </c>
      <c r="C77" s="6"/>
      <c r="D77" s="7"/>
      <c r="E77" s="7"/>
      <c r="F77" s="7"/>
      <c r="G77" s="7"/>
      <c r="H77" s="7">
        <v>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>
        <v>2</v>
      </c>
    </row>
    <row r="78" spans="1:20" x14ac:dyDescent="0.25">
      <c r="A78" s="4"/>
      <c r="B78" s="6" t="s">
        <v>252</v>
      </c>
      <c r="C78" s="6"/>
      <c r="D78" s="7">
        <v>1</v>
      </c>
      <c r="E78" s="7"/>
      <c r="F78" s="7">
        <v>1</v>
      </c>
      <c r="G78" s="7">
        <v>4</v>
      </c>
      <c r="H78" s="7">
        <v>2</v>
      </c>
      <c r="I78" s="7"/>
      <c r="J78" s="7"/>
      <c r="K78" s="7"/>
      <c r="L78" s="7"/>
      <c r="M78" s="7"/>
      <c r="N78" s="7"/>
      <c r="O78" s="7"/>
      <c r="P78" s="7">
        <v>1</v>
      </c>
      <c r="Q78" s="7"/>
      <c r="R78" s="7"/>
      <c r="S78" s="7"/>
      <c r="T78" s="8">
        <v>9</v>
      </c>
    </row>
    <row r="79" spans="1:20" x14ac:dyDescent="0.25">
      <c r="A79" s="4"/>
      <c r="B79" s="6" t="s">
        <v>253</v>
      </c>
      <c r="C79" s="6"/>
      <c r="D79" s="7"/>
      <c r="E79" s="7"/>
      <c r="F79" s="7"/>
      <c r="G79" s="7"/>
      <c r="H79" s="7">
        <v>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>
        <v>2</v>
      </c>
    </row>
    <row r="80" spans="1:20" x14ac:dyDescent="0.25">
      <c r="A80" s="4"/>
      <c r="B80" s="6" t="s">
        <v>254</v>
      </c>
      <c r="C80" s="6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>
        <v>1</v>
      </c>
    </row>
    <row r="81" spans="1:20" x14ac:dyDescent="0.25">
      <c r="A81" s="4"/>
      <c r="B81" s="6" t="s">
        <v>255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v>4</v>
      </c>
      <c r="P81" s="7"/>
      <c r="Q81" s="7"/>
      <c r="R81" s="7"/>
      <c r="S81" s="7"/>
      <c r="T81" s="8">
        <v>4</v>
      </c>
    </row>
    <row r="82" spans="1:20" x14ac:dyDescent="0.25">
      <c r="A82" s="4"/>
      <c r="B82" s="6" t="s">
        <v>256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v>5</v>
      </c>
      <c r="P82" s="7"/>
      <c r="Q82" s="7"/>
      <c r="R82" s="7"/>
      <c r="S82" s="7"/>
      <c r="T82" s="8">
        <v>5</v>
      </c>
    </row>
    <row r="83" spans="1:20" x14ac:dyDescent="0.25">
      <c r="A83" s="4"/>
      <c r="B83" s="6" t="s">
        <v>257</v>
      </c>
      <c r="C83" s="6">
        <v>6</v>
      </c>
      <c r="D83" s="7"/>
      <c r="E83" s="7">
        <v>1.25</v>
      </c>
      <c r="F83" s="7">
        <v>0.1</v>
      </c>
      <c r="G83" s="7"/>
      <c r="H83" s="7">
        <v>4</v>
      </c>
      <c r="I83" s="7"/>
      <c r="J83" s="7"/>
      <c r="K83" s="7"/>
      <c r="L83" s="7"/>
      <c r="M83" s="7">
        <v>1</v>
      </c>
      <c r="N83" s="7">
        <v>0.4</v>
      </c>
      <c r="O83" s="7"/>
      <c r="P83" s="7"/>
      <c r="Q83" s="7"/>
      <c r="R83" s="7"/>
      <c r="S83" s="7"/>
      <c r="T83" s="8">
        <v>12.75</v>
      </c>
    </row>
    <row r="84" spans="1:20" x14ac:dyDescent="0.25">
      <c r="A84" s="4"/>
      <c r="B84" s="6" t="s">
        <v>258</v>
      </c>
      <c r="C84" s="6">
        <v>0.5</v>
      </c>
      <c r="D84" s="7"/>
      <c r="E84" s="7"/>
      <c r="F84" s="7"/>
      <c r="G84" s="7">
        <v>2</v>
      </c>
      <c r="H84" s="7"/>
      <c r="I84" s="7"/>
      <c r="J84" s="7"/>
      <c r="K84" s="7"/>
      <c r="L84" s="7"/>
      <c r="M84" s="7"/>
      <c r="N84" s="7"/>
      <c r="O84" s="7"/>
      <c r="P84" s="7">
        <v>0.5</v>
      </c>
      <c r="Q84" s="7">
        <v>7</v>
      </c>
      <c r="R84" s="7"/>
      <c r="S84" s="7"/>
      <c r="T84" s="8">
        <v>10</v>
      </c>
    </row>
    <row r="85" spans="1:20" x14ac:dyDescent="0.25">
      <c r="A85" s="4"/>
      <c r="B85" s="6" t="s">
        <v>259</v>
      </c>
      <c r="C85" s="6">
        <v>2.75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>
        <v>0.5</v>
      </c>
      <c r="Q85" s="7">
        <v>2.75</v>
      </c>
      <c r="R85" s="7">
        <v>0.5</v>
      </c>
      <c r="S85" s="7"/>
      <c r="T85" s="8">
        <v>6.5</v>
      </c>
    </row>
    <row r="86" spans="1:20" x14ac:dyDescent="0.25">
      <c r="A86" s="4"/>
      <c r="B86" s="6" t="s">
        <v>260</v>
      </c>
      <c r="C86" s="6"/>
      <c r="D86" s="7"/>
      <c r="E86" s="7"/>
      <c r="F86" s="7"/>
      <c r="G86" s="7"/>
      <c r="H86" s="7">
        <v>1</v>
      </c>
      <c r="I86" s="7"/>
      <c r="J86" s="7"/>
      <c r="K86" s="7"/>
      <c r="L86" s="7"/>
      <c r="M86" s="7">
        <v>2</v>
      </c>
      <c r="N86" s="7"/>
      <c r="O86" s="7"/>
      <c r="P86" s="7"/>
      <c r="Q86" s="7"/>
      <c r="R86" s="7"/>
      <c r="S86" s="7"/>
      <c r="T86" s="8">
        <v>3</v>
      </c>
    </row>
    <row r="87" spans="1:20" x14ac:dyDescent="0.25">
      <c r="A87" s="4"/>
      <c r="B87" s="6" t="s">
        <v>261</v>
      </c>
      <c r="C87" s="6">
        <v>0.5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>
        <v>0.5</v>
      </c>
    </row>
    <row r="88" spans="1:20" x14ac:dyDescent="0.25">
      <c r="A88" s="4"/>
      <c r="B88" s="6" t="s">
        <v>262</v>
      </c>
      <c r="C88" s="6"/>
      <c r="D88" s="7"/>
      <c r="E88" s="7"/>
      <c r="F88" s="7"/>
      <c r="G88" s="7"/>
      <c r="H88" s="7">
        <v>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4</v>
      </c>
      <c r="T88" s="8">
        <v>9</v>
      </c>
    </row>
    <row r="89" spans="1:20" x14ac:dyDescent="0.25">
      <c r="A89" s="4"/>
      <c r="B89" s="6" t="s">
        <v>263</v>
      </c>
      <c r="C89" s="6">
        <v>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>
        <v>5</v>
      </c>
    </row>
    <row r="90" spans="1:20" x14ac:dyDescent="0.25">
      <c r="A90" s="4"/>
      <c r="B90" s="6" t="s">
        <v>264</v>
      </c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</v>
      </c>
      <c r="T90" s="8">
        <v>3</v>
      </c>
    </row>
    <row r="91" spans="1:20" x14ac:dyDescent="0.25">
      <c r="A91" s="4"/>
      <c r="B91" s="6" t="s">
        <v>265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4</v>
      </c>
      <c r="T91" s="8">
        <v>4</v>
      </c>
    </row>
    <row r="92" spans="1:20" x14ac:dyDescent="0.25">
      <c r="A92" s="4"/>
      <c r="B92" s="6" t="s">
        <v>266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>
        <v>6</v>
      </c>
    </row>
    <row r="93" spans="1:20" x14ac:dyDescent="0.25">
      <c r="A93" s="4"/>
      <c r="B93" s="6" t="s">
        <v>267</v>
      </c>
      <c r="C93" s="6"/>
      <c r="D93" s="7"/>
      <c r="E93" s="7"/>
      <c r="F93" s="7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>
        <v>1</v>
      </c>
    </row>
    <row r="94" spans="1:20" x14ac:dyDescent="0.25">
      <c r="A94" s="4"/>
      <c r="B94" s="6" t="s">
        <v>268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2</v>
      </c>
      <c r="R94" s="7"/>
      <c r="S94" s="7"/>
      <c r="T94" s="8">
        <v>2</v>
      </c>
    </row>
    <row r="95" spans="1:20" x14ac:dyDescent="0.25">
      <c r="A95" s="4"/>
      <c r="B95" s="6" t="s">
        <v>269</v>
      </c>
      <c r="C95" s="6">
        <v>7.25</v>
      </c>
      <c r="D95" s="7"/>
      <c r="E95" s="7"/>
      <c r="F95" s="7"/>
      <c r="G95" s="7"/>
      <c r="H95" s="7">
        <v>11.5</v>
      </c>
      <c r="I95" s="7"/>
      <c r="J95" s="7"/>
      <c r="K95" s="7">
        <v>1.25</v>
      </c>
      <c r="L95" s="7"/>
      <c r="M95" s="7"/>
      <c r="N95" s="7"/>
      <c r="O95" s="7"/>
      <c r="P95" s="7"/>
      <c r="Q95" s="7"/>
      <c r="R95" s="7"/>
      <c r="S95" s="7"/>
      <c r="T95" s="8">
        <v>20</v>
      </c>
    </row>
    <row r="96" spans="1:20" x14ac:dyDescent="0.25">
      <c r="A96" s="4"/>
      <c r="B96" s="6" t="s">
        <v>270</v>
      </c>
      <c r="C96" s="6">
        <v>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>
        <v>2</v>
      </c>
    </row>
    <row r="97" spans="1:20" x14ac:dyDescent="0.25">
      <c r="A97" s="4"/>
      <c r="B97" s="6" t="s">
        <v>271</v>
      </c>
      <c r="C97" s="6">
        <v>0.25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>
        <v>0.25</v>
      </c>
    </row>
    <row r="98" spans="1:20" x14ac:dyDescent="0.25">
      <c r="A98" s="4"/>
      <c r="B98" s="6" t="s">
        <v>272</v>
      </c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4</v>
      </c>
      <c r="R98" s="7"/>
      <c r="S98" s="7"/>
      <c r="T98" s="8">
        <v>4</v>
      </c>
    </row>
    <row r="99" spans="1:20" x14ac:dyDescent="0.25">
      <c r="A99" s="4"/>
      <c r="B99" s="6" t="s">
        <v>273</v>
      </c>
      <c r="C99" s="6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>
        <v>2</v>
      </c>
    </row>
    <row r="100" spans="1:20" x14ac:dyDescent="0.25">
      <c r="A100" s="4"/>
      <c r="B100" s="6" t="s">
        <v>274</v>
      </c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1</v>
      </c>
      <c r="T100" s="8">
        <v>1</v>
      </c>
    </row>
    <row r="101" spans="1:20" x14ac:dyDescent="0.25">
      <c r="A101" s="4"/>
      <c r="B101" s="6" t="s">
        <v>275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2</v>
      </c>
      <c r="R101" s="7"/>
      <c r="S101" s="7"/>
      <c r="T101" s="8">
        <v>2</v>
      </c>
    </row>
    <row r="102" spans="1:20" x14ac:dyDescent="0.25">
      <c r="A102" s="4"/>
      <c r="B102" s="6" t="s">
        <v>276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1</v>
      </c>
      <c r="R102" s="7"/>
      <c r="S102" s="7"/>
      <c r="T102" s="8">
        <v>1</v>
      </c>
    </row>
    <row r="103" spans="1:20" x14ac:dyDescent="0.25">
      <c r="A103" s="4"/>
      <c r="B103" s="6" t="s">
        <v>277</v>
      </c>
      <c r="C103" s="6"/>
      <c r="D103" s="7"/>
      <c r="E103" s="7">
        <v>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>
        <v>1</v>
      </c>
    </row>
    <row r="104" spans="1:20" x14ac:dyDescent="0.25">
      <c r="A104" s="4"/>
      <c r="B104" s="6" t="s">
        <v>278</v>
      </c>
      <c r="C104" s="6"/>
      <c r="D104" s="7">
        <v>1.2</v>
      </c>
      <c r="E104" s="7"/>
      <c r="F104" s="7">
        <v>1.5</v>
      </c>
      <c r="G104" s="7">
        <v>1</v>
      </c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>
        <v>1</v>
      </c>
      <c r="T104" s="8">
        <v>5.7</v>
      </c>
    </row>
    <row r="105" spans="1:20" x14ac:dyDescent="0.25">
      <c r="A105" s="4"/>
      <c r="B105" s="6" t="s">
        <v>279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1</v>
      </c>
      <c r="R105" s="7"/>
      <c r="S105" s="7"/>
      <c r="T105" s="8">
        <v>1</v>
      </c>
    </row>
    <row r="106" spans="1:20" x14ac:dyDescent="0.25">
      <c r="A106" s="4"/>
      <c r="B106" s="6" t="s">
        <v>280</v>
      </c>
      <c r="C106" s="6">
        <v>2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>
        <v>2</v>
      </c>
    </row>
    <row r="107" spans="1:20" x14ac:dyDescent="0.25">
      <c r="A107" s="4"/>
      <c r="B107" s="6" t="s">
        <v>281</v>
      </c>
      <c r="C107" s="6">
        <v>0.5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>
        <v>0.5</v>
      </c>
    </row>
    <row r="108" spans="1:20" x14ac:dyDescent="0.25">
      <c r="A108" s="4"/>
      <c r="B108" s="6" t="s">
        <v>282</v>
      </c>
      <c r="C108" s="6"/>
      <c r="D108" s="7"/>
      <c r="E108" s="7"/>
      <c r="F108" s="7"/>
      <c r="G108" s="7"/>
      <c r="H108" s="7">
        <v>0.25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>
        <v>0.25</v>
      </c>
    </row>
    <row r="109" spans="1:20" x14ac:dyDescent="0.25">
      <c r="A109" s="4"/>
      <c r="B109" s="6" t="s">
        <v>283</v>
      </c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2</v>
      </c>
      <c r="R109" s="7"/>
      <c r="S109" s="7">
        <v>0.5</v>
      </c>
      <c r="T109" s="8">
        <v>2.5</v>
      </c>
    </row>
    <row r="110" spans="1:20" x14ac:dyDescent="0.25">
      <c r="A110" s="4"/>
      <c r="B110" s="6" t="s">
        <v>284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v>1</v>
      </c>
      <c r="P110" s="7"/>
      <c r="Q110" s="7"/>
      <c r="R110" s="7"/>
      <c r="S110" s="7"/>
      <c r="T110" s="8">
        <v>1</v>
      </c>
    </row>
    <row r="111" spans="1:20" x14ac:dyDescent="0.25">
      <c r="A111" s="4"/>
      <c r="B111" s="6" t="s">
        <v>285</v>
      </c>
      <c r="C111" s="6"/>
      <c r="D111" s="7">
        <v>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2</v>
      </c>
      <c r="R111" s="7"/>
      <c r="S111" s="7">
        <v>1</v>
      </c>
      <c r="T111" s="8">
        <v>4</v>
      </c>
    </row>
    <row r="112" spans="1:20" x14ac:dyDescent="0.25">
      <c r="A112" s="4"/>
      <c r="B112" s="6" t="s">
        <v>286</v>
      </c>
      <c r="C112" s="6"/>
      <c r="D112" s="7">
        <v>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>
        <v>1</v>
      </c>
    </row>
    <row r="113" spans="1:20" x14ac:dyDescent="0.25">
      <c r="A113" s="4"/>
      <c r="B113" s="6" t="s">
        <v>287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>
        <v>1</v>
      </c>
      <c r="P113" s="7"/>
      <c r="Q113" s="7"/>
      <c r="R113" s="7"/>
      <c r="S113" s="7"/>
      <c r="T113" s="8">
        <v>1</v>
      </c>
    </row>
    <row r="114" spans="1:20" x14ac:dyDescent="0.25">
      <c r="A114" s="4"/>
      <c r="B114" s="5" t="s">
        <v>288</v>
      </c>
      <c r="C114" s="6">
        <v>3</v>
      </c>
      <c r="D114" s="7"/>
      <c r="E114" s="7">
        <v>0.75</v>
      </c>
      <c r="F114" s="7"/>
      <c r="G114" s="7">
        <v>3.25</v>
      </c>
      <c r="H114" s="7">
        <v>3</v>
      </c>
      <c r="I114" s="7"/>
      <c r="J114" s="7"/>
      <c r="K114" s="7">
        <v>1</v>
      </c>
      <c r="L114" s="7"/>
      <c r="M114" s="7"/>
      <c r="N114" s="7">
        <v>0.25</v>
      </c>
      <c r="O114" s="7"/>
      <c r="P114" s="7">
        <v>1</v>
      </c>
      <c r="Q114" s="7"/>
      <c r="R114" s="7"/>
      <c r="S114" s="7">
        <v>1</v>
      </c>
      <c r="T114" s="8">
        <v>13.25</v>
      </c>
    </row>
    <row r="115" spans="1:20" x14ac:dyDescent="0.25">
      <c r="A115" s="4"/>
      <c r="B115" s="6" t="s">
        <v>289</v>
      </c>
      <c r="C115" s="6">
        <v>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>
        <v>2</v>
      </c>
    </row>
    <row r="116" spans="1:20" x14ac:dyDescent="0.25">
      <c r="A116" s="4"/>
      <c r="B116" s="6" t="s">
        <v>290</v>
      </c>
      <c r="C116" s="6"/>
      <c r="D116" s="7"/>
      <c r="E116" s="7"/>
      <c r="F116" s="7"/>
      <c r="G116" s="7">
        <v>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>
        <v>1</v>
      </c>
    </row>
    <row r="117" spans="1:20" x14ac:dyDescent="0.25">
      <c r="A117" s="4"/>
      <c r="B117" s="6" t="s">
        <v>291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0.5</v>
      </c>
      <c r="P117" s="7"/>
      <c r="Q117" s="7"/>
      <c r="R117" s="7"/>
      <c r="S117" s="7"/>
      <c r="T117" s="8">
        <v>0.5</v>
      </c>
    </row>
    <row r="118" spans="1:20" x14ac:dyDescent="0.25">
      <c r="A118" s="4"/>
      <c r="B118" s="6" t="s">
        <v>292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v>2</v>
      </c>
      <c r="P118" s="7"/>
      <c r="Q118" s="7"/>
      <c r="R118" s="7"/>
      <c r="S118" s="7"/>
      <c r="T118" s="8">
        <v>2</v>
      </c>
    </row>
    <row r="119" spans="1:20" x14ac:dyDescent="0.25">
      <c r="A119" s="4"/>
      <c r="B119" s="6" t="s">
        <v>293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5</v>
      </c>
      <c r="R119" s="7"/>
      <c r="S119" s="7"/>
      <c r="T119" s="8">
        <v>5</v>
      </c>
    </row>
    <row r="120" spans="1:20" x14ac:dyDescent="0.25">
      <c r="A120" s="4"/>
      <c r="B120" s="6" t="s">
        <v>294</v>
      </c>
      <c r="C120" s="6"/>
      <c r="D120" s="7"/>
      <c r="E120" s="7"/>
      <c r="F120" s="7"/>
      <c r="G120" s="7"/>
      <c r="H120" s="7"/>
      <c r="I120" s="7">
        <v>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>
        <v>1</v>
      </c>
    </row>
    <row r="121" spans="1:20" x14ac:dyDescent="0.25">
      <c r="A121" s="4"/>
      <c r="B121" s="6" t="s">
        <v>295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v>0.5</v>
      </c>
      <c r="P121" s="7"/>
      <c r="Q121" s="7"/>
      <c r="R121" s="7"/>
      <c r="S121" s="7"/>
      <c r="T121" s="8">
        <v>0.5</v>
      </c>
    </row>
    <row r="122" spans="1:20" x14ac:dyDescent="0.25">
      <c r="A122" s="4"/>
      <c r="B122" s="6" t="s">
        <v>296</v>
      </c>
      <c r="C122" s="6"/>
      <c r="D122" s="7"/>
      <c r="E122" s="7"/>
      <c r="F122" s="7"/>
      <c r="G122" s="7"/>
      <c r="H122" s="7">
        <v>3</v>
      </c>
      <c r="I122" s="7"/>
      <c r="J122" s="7"/>
      <c r="K122" s="7"/>
      <c r="L122" s="7"/>
      <c r="M122" s="7"/>
      <c r="N122" s="7"/>
      <c r="O122" s="7"/>
      <c r="P122" s="7"/>
      <c r="Q122" s="7">
        <v>1</v>
      </c>
      <c r="R122" s="7"/>
      <c r="S122" s="7">
        <v>1</v>
      </c>
      <c r="T122" s="8">
        <v>5</v>
      </c>
    </row>
    <row r="123" spans="1:20" x14ac:dyDescent="0.25">
      <c r="A123" s="4"/>
      <c r="B123" s="6" t="s">
        <v>297</v>
      </c>
      <c r="C123" s="6"/>
      <c r="D123" s="7"/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>
        <v>1</v>
      </c>
    </row>
    <row r="124" spans="1:20" x14ac:dyDescent="0.25">
      <c r="A124" s="4"/>
      <c r="B124" s="6" t="s">
        <v>298</v>
      </c>
      <c r="C124" s="6"/>
      <c r="D124" s="7"/>
      <c r="E124" s="7"/>
      <c r="F124" s="7"/>
      <c r="G124" s="7"/>
      <c r="H124" s="7">
        <v>1</v>
      </c>
      <c r="I124" s="7">
        <v>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>
        <v>2</v>
      </c>
    </row>
    <row r="125" spans="1:20" x14ac:dyDescent="0.25">
      <c r="A125" s="4"/>
      <c r="B125" s="6" t="s">
        <v>299</v>
      </c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>
        <v>1</v>
      </c>
      <c r="P125" s="7"/>
      <c r="Q125" s="7"/>
      <c r="R125" s="7"/>
      <c r="S125" s="7"/>
      <c r="T125" s="8">
        <v>1</v>
      </c>
    </row>
    <row r="126" spans="1:20" x14ac:dyDescent="0.25">
      <c r="A126" s="4"/>
      <c r="B126" s="6" t="s">
        <v>300</v>
      </c>
      <c r="C126" s="6"/>
      <c r="D126" s="7">
        <v>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1</v>
      </c>
      <c r="R126" s="7"/>
      <c r="S126" s="7"/>
      <c r="T126" s="8">
        <v>3</v>
      </c>
    </row>
    <row r="127" spans="1:20" x14ac:dyDescent="0.25">
      <c r="A127" s="4"/>
      <c r="B127" s="6" t="s">
        <v>301</v>
      </c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8">
        <v>1</v>
      </c>
    </row>
    <row r="128" spans="1:20" x14ac:dyDescent="0.25">
      <c r="A128" s="4"/>
      <c r="B128" s="6" t="s">
        <v>302</v>
      </c>
      <c r="C128" s="6"/>
      <c r="D128" s="7"/>
      <c r="E128" s="7"/>
      <c r="F128" s="7"/>
      <c r="G128" s="7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>
        <v>1</v>
      </c>
    </row>
    <row r="129" spans="1:20" x14ac:dyDescent="0.25">
      <c r="A129" s="4"/>
      <c r="B129" s="6" t="s">
        <v>303</v>
      </c>
      <c r="C129" s="6"/>
      <c r="D129" s="7"/>
      <c r="E129" s="7"/>
      <c r="F129" s="7"/>
      <c r="G129" s="7">
        <v>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>
        <v>2</v>
      </c>
    </row>
    <row r="130" spans="1:20" x14ac:dyDescent="0.25">
      <c r="A130" s="4"/>
      <c r="B130" s="6" t="s">
        <v>304</v>
      </c>
      <c r="C130" s="6"/>
      <c r="D130" s="7"/>
      <c r="E130" s="7"/>
      <c r="F130" s="7"/>
      <c r="G130" s="7"/>
      <c r="H130" s="7">
        <v>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>
        <v>1</v>
      </c>
    </row>
    <row r="131" spans="1:20" x14ac:dyDescent="0.25">
      <c r="A131" s="4"/>
      <c r="B131" s="6" t="s">
        <v>305</v>
      </c>
      <c r="C131" s="6"/>
      <c r="D131" s="7"/>
      <c r="E131" s="7">
        <v>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>
        <v>2</v>
      </c>
    </row>
    <row r="132" spans="1:20" x14ac:dyDescent="0.25">
      <c r="A132" s="4"/>
      <c r="B132" s="6" t="s">
        <v>306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16</v>
      </c>
      <c r="R132" s="7"/>
      <c r="S132" s="7"/>
      <c r="T132" s="8">
        <v>16</v>
      </c>
    </row>
    <row r="133" spans="1:20" x14ac:dyDescent="0.25">
      <c r="A133" s="4"/>
      <c r="B133" s="6" t="s">
        <v>307</v>
      </c>
      <c r="C133" s="6"/>
      <c r="D133" s="7"/>
      <c r="E133" s="7"/>
      <c r="F133" s="7">
        <v>0.3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>
        <v>0.3</v>
      </c>
    </row>
    <row r="134" spans="1:20" x14ac:dyDescent="0.25">
      <c r="A134" s="4"/>
      <c r="B134" s="6" t="s">
        <v>308</v>
      </c>
      <c r="C134" s="6"/>
      <c r="D134" s="7">
        <v>0.5</v>
      </c>
      <c r="E134" s="7"/>
      <c r="F134" s="7"/>
      <c r="G134" s="7">
        <v>0.25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>
        <v>0.75</v>
      </c>
    </row>
    <row r="135" spans="1:20" x14ac:dyDescent="0.25">
      <c r="A135" s="4"/>
      <c r="B135" s="6" t="s">
        <v>309</v>
      </c>
      <c r="C135" s="6"/>
      <c r="D135" s="7"/>
      <c r="E135" s="7"/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>
        <v>1</v>
      </c>
    </row>
    <row r="136" spans="1:20" x14ac:dyDescent="0.25">
      <c r="A136" s="4"/>
      <c r="B136" s="6" t="s">
        <v>310</v>
      </c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1</v>
      </c>
      <c r="O136" s="7"/>
      <c r="P136" s="7"/>
      <c r="Q136" s="7"/>
      <c r="R136" s="7"/>
      <c r="S136" s="7"/>
      <c r="T136" s="8">
        <v>1</v>
      </c>
    </row>
    <row r="137" spans="1:20" x14ac:dyDescent="0.25">
      <c r="A137" s="4"/>
      <c r="B137" s="6" t="s">
        <v>311</v>
      </c>
      <c r="C137" s="6"/>
      <c r="D137" s="7"/>
      <c r="E137" s="7"/>
      <c r="F137" s="7"/>
      <c r="G137" s="7">
        <v>0.1</v>
      </c>
      <c r="H137" s="7"/>
      <c r="I137" s="7"/>
      <c r="J137" s="7"/>
      <c r="K137" s="7"/>
      <c r="L137" s="7"/>
      <c r="M137" s="7"/>
      <c r="N137" s="7">
        <v>0.15</v>
      </c>
      <c r="O137" s="7"/>
      <c r="P137" s="7"/>
      <c r="Q137" s="7"/>
      <c r="R137" s="7"/>
      <c r="S137" s="7"/>
      <c r="T137" s="8">
        <v>0.25</v>
      </c>
    </row>
    <row r="138" spans="1:20" x14ac:dyDescent="0.25">
      <c r="A138" s="4"/>
      <c r="B138" s="6" t="s">
        <v>312</v>
      </c>
      <c r="C138" s="6"/>
      <c r="D138" s="7"/>
      <c r="E138" s="7">
        <v>0.2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>
        <v>0.2</v>
      </c>
    </row>
    <row r="139" spans="1:20" x14ac:dyDescent="0.25">
      <c r="A139" s="4"/>
      <c r="B139" s="6" t="s">
        <v>313</v>
      </c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>
        <v>1</v>
      </c>
      <c r="P139" s="7"/>
      <c r="Q139" s="7"/>
      <c r="R139" s="7"/>
      <c r="S139" s="7"/>
      <c r="T139" s="8">
        <v>1</v>
      </c>
    </row>
    <row r="140" spans="1:20" x14ac:dyDescent="0.25">
      <c r="A140" s="4"/>
      <c r="B140" s="6" t="s">
        <v>314</v>
      </c>
      <c r="C140" s="6"/>
      <c r="D140" s="7"/>
      <c r="E140" s="7">
        <v>0.25</v>
      </c>
      <c r="F140" s="7"/>
      <c r="G140" s="7"/>
      <c r="H140" s="7"/>
      <c r="I140" s="7"/>
      <c r="J140" s="7"/>
      <c r="K140" s="7"/>
      <c r="L140" s="7"/>
      <c r="M140" s="7"/>
      <c r="N140" s="7">
        <v>0.75</v>
      </c>
      <c r="O140" s="7"/>
      <c r="P140" s="7"/>
      <c r="Q140" s="7"/>
      <c r="R140" s="7"/>
      <c r="S140" s="7"/>
      <c r="T140" s="8">
        <v>1</v>
      </c>
    </row>
    <row r="141" spans="1:20" x14ac:dyDescent="0.25">
      <c r="A141" s="4"/>
      <c r="B141" s="6" t="s">
        <v>315</v>
      </c>
      <c r="C141" s="6"/>
      <c r="D141" s="7"/>
      <c r="E141" s="7"/>
      <c r="F141" s="7"/>
      <c r="G141" s="7"/>
      <c r="H141" s="7">
        <v>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>
        <v>1</v>
      </c>
    </row>
    <row r="142" spans="1:20" x14ac:dyDescent="0.25">
      <c r="A142" s="4"/>
      <c r="B142" s="6" t="s">
        <v>316</v>
      </c>
      <c r="C142" s="6"/>
      <c r="D142" s="7"/>
      <c r="E142" s="7"/>
      <c r="F142" s="7"/>
      <c r="G142" s="7">
        <v>61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>
        <v>61</v>
      </c>
    </row>
    <row r="143" spans="1:20" x14ac:dyDescent="0.25">
      <c r="A143" s="4"/>
      <c r="B143" s="6" t="s">
        <v>317</v>
      </c>
      <c r="C143" s="6"/>
      <c r="D143" s="7"/>
      <c r="E143" s="7"/>
      <c r="F143" s="7"/>
      <c r="G143" s="7">
        <v>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1</v>
      </c>
    </row>
    <row r="144" spans="1:20" x14ac:dyDescent="0.25">
      <c r="A144" s="4"/>
      <c r="B144" s="6" t="s">
        <v>318</v>
      </c>
      <c r="C144" s="6"/>
      <c r="D144" s="7"/>
      <c r="E144" s="7"/>
      <c r="F144" s="7"/>
      <c r="G144" s="7">
        <v>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>
        <v>9</v>
      </c>
    </row>
    <row r="145" spans="1:20" x14ac:dyDescent="0.25">
      <c r="A145" s="4"/>
      <c r="B145" s="6" t="s">
        <v>319</v>
      </c>
      <c r="C145" s="6"/>
      <c r="D145" s="7"/>
      <c r="E145" s="7"/>
      <c r="F145" s="7"/>
      <c r="G145" s="7">
        <v>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>
        <v>1</v>
      </c>
    </row>
    <row r="146" spans="1:20" x14ac:dyDescent="0.25">
      <c r="A146" s="4"/>
      <c r="B146" s="6" t="s">
        <v>320</v>
      </c>
      <c r="C146" s="6"/>
      <c r="D146" s="7"/>
      <c r="E146" s="7"/>
      <c r="F146" s="7"/>
      <c r="G146" s="7"/>
      <c r="H146" s="7"/>
      <c r="I146" s="7"/>
      <c r="J146" s="7"/>
      <c r="K146" s="7">
        <v>1</v>
      </c>
      <c r="L146" s="7"/>
      <c r="M146" s="7"/>
      <c r="N146" s="7">
        <v>1</v>
      </c>
      <c r="O146" s="7"/>
      <c r="P146" s="7"/>
      <c r="Q146" s="7"/>
      <c r="R146" s="7"/>
      <c r="S146" s="7"/>
      <c r="T146" s="8">
        <v>2</v>
      </c>
    </row>
    <row r="147" spans="1:20" x14ac:dyDescent="0.25">
      <c r="A147" s="4"/>
      <c r="B147" s="6" t="s">
        <v>321</v>
      </c>
      <c r="C147" s="6"/>
      <c r="D147" s="7"/>
      <c r="E147" s="7"/>
      <c r="F147" s="7"/>
      <c r="G147" s="7"/>
      <c r="H147" s="7">
        <v>1.25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>
        <v>1.25</v>
      </c>
    </row>
    <row r="148" spans="1:20" x14ac:dyDescent="0.25">
      <c r="A148" s="4"/>
      <c r="B148" s="6" t="s">
        <v>322</v>
      </c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>
        <v>1</v>
      </c>
      <c r="P148" s="7"/>
      <c r="Q148" s="7"/>
      <c r="R148" s="7"/>
      <c r="S148" s="7"/>
      <c r="T148" s="8">
        <v>1</v>
      </c>
    </row>
    <row r="149" spans="1:20" x14ac:dyDescent="0.25">
      <c r="A149" s="4"/>
      <c r="B149" s="6" t="s">
        <v>323</v>
      </c>
      <c r="C149" s="6">
        <v>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>
        <v>3</v>
      </c>
    </row>
    <row r="150" spans="1:20" x14ac:dyDescent="0.25">
      <c r="A150" s="4"/>
      <c r="B150" s="6" t="s">
        <v>324</v>
      </c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>
        <v>8.5</v>
      </c>
      <c r="Q150" s="7"/>
      <c r="R150" s="7"/>
      <c r="S150" s="7"/>
      <c r="T150" s="8">
        <v>8.5</v>
      </c>
    </row>
    <row r="151" spans="1:20" x14ac:dyDescent="0.25">
      <c r="A151" s="4"/>
      <c r="B151" s="5" t="s">
        <v>325</v>
      </c>
      <c r="C151" s="6"/>
      <c r="D151" s="7"/>
      <c r="E151" s="7">
        <v>1</v>
      </c>
      <c r="F151" s="7">
        <v>4</v>
      </c>
      <c r="G151" s="7">
        <v>0.5</v>
      </c>
      <c r="H151" s="7">
        <v>3</v>
      </c>
      <c r="I151" s="7">
        <v>1</v>
      </c>
      <c r="J151" s="7"/>
      <c r="K151" s="7"/>
      <c r="L151" s="7"/>
      <c r="M151" s="7">
        <v>1</v>
      </c>
      <c r="N151" s="7"/>
      <c r="O151" s="7"/>
      <c r="P151" s="7">
        <v>2</v>
      </c>
      <c r="Q151" s="7">
        <v>14.5</v>
      </c>
      <c r="R151" s="7"/>
      <c r="S151" s="7">
        <v>9</v>
      </c>
      <c r="T151" s="8">
        <v>36</v>
      </c>
    </row>
    <row r="152" spans="1:20" x14ac:dyDescent="0.25">
      <c r="A152" s="4"/>
      <c r="B152" s="6" t="s">
        <v>326</v>
      </c>
      <c r="C152" s="6">
        <v>3</v>
      </c>
      <c r="D152" s="7"/>
      <c r="E152" s="7"/>
      <c r="F152" s="7"/>
      <c r="G152" s="7"/>
      <c r="H152" s="7">
        <v>3</v>
      </c>
      <c r="I152" s="7"/>
      <c r="J152" s="7"/>
      <c r="K152" s="7"/>
      <c r="L152" s="7"/>
      <c r="M152" s="7"/>
      <c r="N152" s="7"/>
      <c r="O152" s="7"/>
      <c r="P152" s="7"/>
      <c r="Q152" s="7">
        <v>5.5</v>
      </c>
      <c r="R152" s="7"/>
      <c r="S152" s="7"/>
      <c r="T152" s="8">
        <v>11.5</v>
      </c>
    </row>
    <row r="153" spans="1:20" x14ac:dyDescent="0.25">
      <c r="A153" s="4"/>
      <c r="B153" s="6" t="s">
        <v>327</v>
      </c>
      <c r="C153" s="6">
        <v>2</v>
      </c>
      <c r="D153" s="7"/>
      <c r="E153" s="7"/>
      <c r="F153" s="7"/>
      <c r="G153" s="7"/>
      <c r="H153" s="7">
        <v>1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>
        <v>3</v>
      </c>
    </row>
    <row r="154" spans="1:20" x14ac:dyDescent="0.25">
      <c r="A154" s="4"/>
      <c r="B154" s="6" t="s">
        <v>328</v>
      </c>
      <c r="C154" s="6"/>
      <c r="D154" s="7"/>
      <c r="E154" s="7"/>
      <c r="F154" s="7"/>
      <c r="G154" s="7">
        <v>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>
        <v>2</v>
      </c>
    </row>
    <row r="155" spans="1:20" x14ac:dyDescent="0.25">
      <c r="A155" s="4"/>
      <c r="B155" s="6" t="s">
        <v>329</v>
      </c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>
        <v>1</v>
      </c>
      <c r="T155" s="8">
        <v>1</v>
      </c>
    </row>
    <row r="156" spans="1:20" x14ac:dyDescent="0.25">
      <c r="A156" s="4"/>
      <c r="B156" s="6" t="s">
        <v>330</v>
      </c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>
        <v>1</v>
      </c>
      <c r="N156" s="7"/>
      <c r="O156" s="7"/>
      <c r="P156" s="7"/>
      <c r="Q156" s="7"/>
      <c r="R156" s="7"/>
      <c r="S156" s="7"/>
      <c r="T156" s="8">
        <v>1</v>
      </c>
    </row>
    <row r="157" spans="1:20" x14ac:dyDescent="0.25">
      <c r="A157" s="4"/>
      <c r="B157" s="6" t="s">
        <v>331</v>
      </c>
      <c r="C157" s="6"/>
      <c r="D157" s="7"/>
      <c r="E157" s="7">
        <v>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>
        <v>3</v>
      </c>
    </row>
    <row r="158" spans="1:20" x14ac:dyDescent="0.25">
      <c r="A158" s="4"/>
      <c r="B158" s="6" t="s">
        <v>332</v>
      </c>
      <c r="C158" s="6">
        <v>1</v>
      </c>
      <c r="D158" s="7">
        <v>0.5</v>
      </c>
      <c r="E158" s="7"/>
      <c r="F158" s="7">
        <v>1</v>
      </c>
      <c r="G158" s="7"/>
      <c r="H158" s="7"/>
      <c r="I158" s="7"/>
      <c r="J158" s="7"/>
      <c r="K158" s="7"/>
      <c r="L158" s="7"/>
      <c r="M158" s="7"/>
      <c r="N158" s="7"/>
      <c r="O158" s="7"/>
      <c r="P158" s="7">
        <v>0.3</v>
      </c>
      <c r="Q158" s="7"/>
      <c r="R158" s="7"/>
      <c r="S158" s="7"/>
      <c r="T158" s="8">
        <v>2.8</v>
      </c>
    </row>
    <row r="159" spans="1:20" x14ac:dyDescent="0.25">
      <c r="A159" s="4"/>
      <c r="B159" s="6" t="s">
        <v>333</v>
      </c>
      <c r="C159" s="6">
        <v>1</v>
      </c>
      <c r="D159" s="7"/>
      <c r="E159" s="7"/>
      <c r="F159" s="7"/>
      <c r="G159" s="7">
        <v>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>
        <v>2</v>
      </c>
    </row>
    <row r="160" spans="1:20" x14ac:dyDescent="0.25">
      <c r="A160" s="4"/>
      <c r="B160" s="6" t="s">
        <v>334</v>
      </c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0.15</v>
      </c>
      <c r="Q160" s="7"/>
      <c r="R160" s="7"/>
      <c r="S160" s="7">
        <v>1</v>
      </c>
      <c r="T160" s="8">
        <v>1.1499999999999999</v>
      </c>
    </row>
    <row r="161" spans="1:20" x14ac:dyDescent="0.25">
      <c r="A161" s="4"/>
      <c r="B161" s="5" t="s">
        <v>335</v>
      </c>
      <c r="C161" s="6"/>
      <c r="D161" s="7">
        <v>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>
        <v>1</v>
      </c>
      <c r="P161" s="7"/>
      <c r="Q161" s="7"/>
      <c r="R161" s="7"/>
      <c r="S161" s="7"/>
      <c r="T161" s="8">
        <v>2</v>
      </c>
    </row>
    <row r="162" spans="1:20" x14ac:dyDescent="0.25">
      <c r="A162" s="4"/>
      <c r="B162" s="6" t="s">
        <v>336</v>
      </c>
      <c r="C162" s="6"/>
      <c r="D162" s="7"/>
      <c r="E162" s="7"/>
      <c r="F162" s="7"/>
      <c r="G162" s="7"/>
      <c r="H162" s="7">
        <v>1</v>
      </c>
      <c r="I162" s="7"/>
      <c r="J162" s="7"/>
      <c r="K162" s="7"/>
      <c r="L162" s="7"/>
      <c r="M162" s="7"/>
      <c r="N162" s="7"/>
      <c r="O162" s="7"/>
      <c r="P162" s="7"/>
      <c r="Q162" s="7">
        <v>1</v>
      </c>
      <c r="R162" s="7"/>
      <c r="S162" s="7"/>
      <c r="T162" s="8">
        <v>2</v>
      </c>
    </row>
    <row r="163" spans="1:20" x14ac:dyDescent="0.25">
      <c r="A163" s="4"/>
      <c r="B163" s="6" t="s">
        <v>337</v>
      </c>
      <c r="C163" s="6"/>
      <c r="D163" s="7"/>
      <c r="E163" s="7"/>
      <c r="F163" s="7"/>
      <c r="G163" s="7"/>
      <c r="H163" s="7">
        <v>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>
        <v>1</v>
      </c>
    </row>
    <row r="164" spans="1:20" x14ac:dyDescent="0.25">
      <c r="A164" s="9" t="s">
        <v>18</v>
      </c>
      <c r="B164" s="10"/>
      <c r="C164" s="9">
        <v>118.25</v>
      </c>
      <c r="D164" s="11">
        <v>25.7</v>
      </c>
      <c r="E164" s="11">
        <v>22.55</v>
      </c>
      <c r="F164" s="11">
        <v>38.15</v>
      </c>
      <c r="G164" s="11">
        <v>190.1</v>
      </c>
      <c r="H164" s="11">
        <v>138.69999999999999</v>
      </c>
      <c r="I164" s="11">
        <v>10</v>
      </c>
      <c r="J164" s="11">
        <v>11</v>
      </c>
      <c r="K164" s="11">
        <v>20.5</v>
      </c>
      <c r="L164" s="11">
        <v>1.5</v>
      </c>
      <c r="M164" s="11">
        <v>15</v>
      </c>
      <c r="N164" s="11">
        <v>20.7</v>
      </c>
      <c r="O164" s="11">
        <v>22</v>
      </c>
      <c r="P164" s="11">
        <v>34.950000000000003</v>
      </c>
      <c r="Q164" s="11">
        <v>106.2</v>
      </c>
      <c r="R164" s="11">
        <v>0.5</v>
      </c>
      <c r="S164" s="11">
        <v>68.95</v>
      </c>
      <c r="T164" s="12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 x14ac:dyDescent="0.25"/>
  <cols>
    <col min="1" max="1" width="26.7109375" customWidth="1"/>
    <col min="2" max="2" width="40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 x14ac:dyDescent="0.25">
      <c r="A2" s="1" t="s">
        <v>338</v>
      </c>
      <c r="B2" s="1" t="s">
        <v>339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 x14ac:dyDescent="0.25">
      <c r="A3" s="4"/>
      <c r="B3" s="6" t="s">
        <v>340</v>
      </c>
      <c r="C3" s="6"/>
      <c r="D3" s="7"/>
      <c r="E3" s="7"/>
      <c r="F3" s="7"/>
      <c r="G3" s="7"/>
      <c r="H3" s="7"/>
      <c r="I3" s="7"/>
      <c r="J3" s="7"/>
      <c r="K3" s="7"/>
      <c r="L3" s="7"/>
      <c r="M3" s="7">
        <v>1</v>
      </c>
      <c r="N3" s="7"/>
      <c r="O3" s="7"/>
      <c r="P3" s="7"/>
      <c r="Q3" s="7"/>
      <c r="R3" s="8">
        <v>1</v>
      </c>
    </row>
    <row r="4" spans="1:18" x14ac:dyDescent="0.25">
      <c r="A4" s="4"/>
      <c r="B4" s="6" t="s">
        <v>341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2</v>
      </c>
      <c r="R4" s="8">
        <v>2</v>
      </c>
    </row>
    <row r="5" spans="1:18" x14ac:dyDescent="0.25">
      <c r="A5" s="4"/>
      <c r="B5" s="1" t="s">
        <v>342</v>
      </c>
      <c r="C5" s="1"/>
      <c r="D5" s="2"/>
      <c r="E5" s="2"/>
      <c r="F5" s="2"/>
      <c r="G5" s="2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3">
        <v>2</v>
      </c>
    </row>
    <row r="6" spans="1:18" x14ac:dyDescent="0.25">
      <c r="A6" s="4"/>
      <c r="B6" s="1" t="s">
        <v>343</v>
      </c>
      <c r="C6" s="1">
        <v>1.5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1</v>
      </c>
      <c r="R6" s="3">
        <v>2.5</v>
      </c>
    </row>
    <row r="7" spans="1:18" x14ac:dyDescent="0.25">
      <c r="A7" s="4"/>
      <c r="B7" s="6" t="s">
        <v>344</v>
      </c>
      <c r="C7" s="6"/>
      <c r="D7" s="7"/>
      <c r="E7" s="7"/>
      <c r="F7" s="7"/>
      <c r="G7" s="7">
        <v>47</v>
      </c>
      <c r="H7" s="7"/>
      <c r="I7" s="7"/>
      <c r="J7" s="7"/>
      <c r="K7" s="7"/>
      <c r="L7" s="7"/>
      <c r="M7" s="7"/>
      <c r="N7" s="7"/>
      <c r="O7" s="7"/>
      <c r="P7" s="7"/>
      <c r="Q7" s="7"/>
      <c r="R7" s="8">
        <v>47</v>
      </c>
    </row>
    <row r="8" spans="1:18" x14ac:dyDescent="0.25">
      <c r="A8" s="4"/>
      <c r="B8" s="6" t="s">
        <v>345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1</v>
      </c>
    </row>
    <row r="9" spans="1:18" x14ac:dyDescent="0.25">
      <c r="A9" s="4"/>
      <c r="B9" s="5" t="s">
        <v>340</v>
      </c>
      <c r="C9" s="6">
        <v>75</v>
      </c>
      <c r="D9" s="7">
        <v>10</v>
      </c>
      <c r="E9" s="7"/>
      <c r="F9" s="7">
        <v>13</v>
      </c>
      <c r="G9" s="7"/>
      <c r="H9" s="7">
        <v>117</v>
      </c>
      <c r="I9" s="7">
        <v>14</v>
      </c>
      <c r="J9" s="7"/>
      <c r="K9" s="7"/>
      <c r="L9" s="7"/>
      <c r="M9" s="7">
        <v>11</v>
      </c>
      <c r="N9" s="7"/>
      <c r="O9" s="7"/>
      <c r="P9" s="7"/>
      <c r="Q9" s="7"/>
      <c r="R9" s="8">
        <v>240</v>
      </c>
    </row>
    <row r="10" spans="1:18" x14ac:dyDescent="0.25">
      <c r="A10" s="4"/>
      <c r="B10" s="6" t="s">
        <v>346</v>
      </c>
      <c r="C10" s="6"/>
      <c r="D10" s="7"/>
      <c r="E10" s="7">
        <v>0.25</v>
      </c>
      <c r="F10" s="7"/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8">
        <v>1.25</v>
      </c>
    </row>
    <row r="11" spans="1:18" x14ac:dyDescent="0.25">
      <c r="A11" s="4"/>
      <c r="B11" s="6" t="s">
        <v>347</v>
      </c>
      <c r="C11" s="6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16</v>
      </c>
    </row>
    <row r="12" spans="1:18" x14ac:dyDescent="0.25">
      <c r="A12" s="4"/>
      <c r="B12" s="6" t="s">
        <v>348</v>
      </c>
      <c r="C12" s="6"/>
      <c r="D12" s="7"/>
      <c r="E12" s="7"/>
      <c r="F12" s="7"/>
      <c r="G12" s="7"/>
      <c r="H12" s="7">
        <v>3</v>
      </c>
      <c r="I12" s="7"/>
      <c r="J12" s="7"/>
      <c r="K12" s="7"/>
      <c r="L12" s="7">
        <v>1</v>
      </c>
      <c r="M12" s="7"/>
      <c r="N12" s="7"/>
      <c r="O12" s="7"/>
      <c r="P12" s="7"/>
      <c r="Q12" s="7">
        <v>1</v>
      </c>
      <c r="R12" s="8">
        <v>5</v>
      </c>
    </row>
    <row r="13" spans="1:18" x14ac:dyDescent="0.25">
      <c r="A13" s="4"/>
      <c r="B13" s="6" t="s">
        <v>349</v>
      </c>
      <c r="C13" s="6">
        <v>2</v>
      </c>
      <c r="D13" s="7"/>
      <c r="E13" s="7"/>
      <c r="F13" s="7"/>
      <c r="G13" s="7"/>
      <c r="H13" s="7"/>
      <c r="I13" s="7"/>
      <c r="J13" s="7"/>
      <c r="K13" s="7"/>
      <c r="L13" s="7">
        <v>1</v>
      </c>
      <c r="M13" s="7"/>
      <c r="N13" s="7"/>
      <c r="O13" s="7"/>
      <c r="P13" s="7"/>
      <c r="Q13" s="7"/>
      <c r="R13" s="8">
        <v>3</v>
      </c>
    </row>
    <row r="14" spans="1:18" x14ac:dyDescent="0.25">
      <c r="A14" s="4"/>
      <c r="B14" s="14" t="s">
        <v>350</v>
      </c>
      <c r="C14" s="1">
        <v>55</v>
      </c>
      <c r="D14" s="2"/>
      <c r="E14" s="2"/>
      <c r="F14" s="2">
        <v>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9</v>
      </c>
      <c r="R14" s="3">
        <v>67</v>
      </c>
    </row>
    <row r="15" spans="1:18" x14ac:dyDescent="0.25">
      <c r="A15" s="4"/>
      <c r="B15" s="6" t="s">
        <v>351</v>
      </c>
      <c r="C15" s="6">
        <v>79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15</v>
      </c>
      <c r="R15" s="8">
        <v>94</v>
      </c>
    </row>
    <row r="16" spans="1:18" x14ac:dyDescent="0.25">
      <c r="A16" s="4"/>
      <c r="B16" s="6" t="s">
        <v>352</v>
      </c>
      <c r="C16" s="6">
        <v>4.2</v>
      </c>
      <c r="D16" s="7"/>
      <c r="E16" s="7"/>
      <c r="F16" s="7"/>
      <c r="G16" s="7">
        <v>2</v>
      </c>
      <c r="H16" s="7"/>
      <c r="I16" s="7"/>
      <c r="J16" s="7"/>
      <c r="K16" s="7"/>
      <c r="L16" s="7"/>
      <c r="M16" s="7"/>
      <c r="N16" s="7"/>
      <c r="O16" s="7"/>
      <c r="P16" s="7">
        <v>1.25</v>
      </c>
      <c r="Q16" s="7"/>
      <c r="R16" s="8">
        <v>7.45</v>
      </c>
    </row>
    <row r="17" spans="1:18" x14ac:dyDescent="0.25">
      <c r="A17" s="4"/>
      <c r="B17" s="6" t="s">
        <v>353</v>
      </c>
      <c r="C17" s="6">
        <v>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>
        <v>1</v>
      </c>
    </row>
    <row r="18" spans="1:18" x14ac:dyDescent="0.25">
      <c r="A18" s="4"/>
      <c r="B18" s="6" t="s">
        <v>354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1</v>
      </c>
      <c r="P18" s="7"/>
      <c r="Q18" s="7"/>
      <c r="R18" s="8">
        <v>1</v>
      </c>
    </row>
    <row r="19" spans="1:18" x14ac:dyDescent="0.25">
      <c r="A19" s="4"/>
      <c r="B19" s="5" t="s">
        <v>355</v>
      </c>
      <c r="C19" s="6"/>
      <c r="D19" s="7">
        <v>5.5</v>
      </c>
      <c r="E19" s="7"/>
      <c r="F19" s="7"/>
      <c r="G19" s="7"/>
      <c r="H19" s="7">
        <v>2</v>
      </c>
      <c r="I19" s="7"/>
      <c r="J19" s="7"/>
      <c r="K19" s="7"/>
      <c r="L19" s="7">
        <v>2</v>
      </c>
      <c r="M19" s="7"/>
      <c r="N19" s="7"/>
      <c r="O19" s="7"/>
      <c r="P19" s="7"/>
      <c r="Q19" s="7"/>
      <c r="R19" s="8">
        <v>9.5</v>
      </c>
    </row>
    <row r="20" spans="1:18" x14ac:dyDescent="0.25">
      <c r="A20" s="4"/>
      <c r="B20" s="6" t="s">
        <v>356</v>
      </c>
      <c r="C20" s="6">
        <v>5</v>
      </c>
      <c r="D20" s="7"/>
      <c r="E20" s="7">
        <v>0.4</v>
      </c>
      <c r="F20" s="7"/>
      <c r="G20" s="7"/>
      <c r="H20" s="7"/>
      <c r="I20" s="7"/>
      <c r="J20" s="7"/>
      <c r="K20" s="7"/>
      <c r="L20" s="7"/>
      <c r="M20" s="7">
        <v>0.4</v>
      </c>
      <c r="N20" s="7">
        <v>4</v>
      </c>
      <c r="O20" s="7"/>
      <c r="P20" s="7"/>
      <c r="Q20" s="7"/>
      <c r="R20" s="8">
        <v>9.8000000000000007</v>
      </c>
    </row>
    <row r="21" spans="1:18" x14ac:dyDescent="0.25">
      <c r="A21" s="4"/>
      <c r="B21" s="6" t="s">
        <v>357</v>
      </c>
      <c r="C21" s="6">
        <v>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v>2</v>
      </c>
    </row>
    <row r="22" spans="1:18" x14ac:dyDescent="0.25">
      <c r="A22" s="4"/>
      <c r="B22" s="6" t="s">
        <v>358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 x14ac:dyDescent="0.25">
      <c r="A23" s="4"/>
      <c r="B23" s="6" t="s">
        <v>359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/>
      <c r="P23" s="7"/>
      <c r="Q23" s="7"/>
      <c r="R23" s="8">
        <v>2</v>
      </c>
    </row>
    <row r="24" spans="1:18" x14ac:dyDescent="0.25">
      <c r="A24" s="4"/>
      <c r="B24" s="6" t="s">
        <v>253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8">
        <v>1</v>
      </c>
    </row>
    <row r="25" spans="1:18" x14ac:dyDescent="0.25">
      <c r="A25" s="4"/>
      <c r="B25" s="6" t="s">
        <v>360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1</v>
      </c>
      <c r="Q25" s="7"/>
      <c r="R25" s="8">
        <v>1</v>
      </c>
    </row>
    <row r="26" spans="1:18" x14ac:dyDescent="0.25">
      <c r="A26" s="4"/>
      <c r="B26" s="6" t="s">
        <v>361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0.5</v>
      </c>
      <c r="N26" s="7"/>
      <c r="O26" s="7"/>
      <c r="P26" s="7"/>
      <c r="Q26" s="7"/>
      <c r="R26" s="8">
        <v>0.5</v>
      </c>
    </row>
    <row r="27" spans="1:18" x14ac:dyDescent="0.25">
      <c r="A27" s="4"/>
      <c r="B27" s="6" t="s">
        <v>362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8">
        <v>2</v>
      </c>
    </row>
    <row r="28" spans="1:18" x14ac:dyDescent="0.25">
      <c r="A28" s="4"/>
      <c r="B28" s="6" t="s">
        <v>363</v>
      </c>
      <c r="C28" s="6"/>
      <c r="D28" s="7"/>
      <c r="E28" s="7"/>
      <c r="F28" s="7"/>
      <c r="G28" s="7"/>
      <c r="H28" s="7">
        <v>5</v>
      </c>
      <c r="I28" s="7"/>
      <c r="J28" s="7"/>
      <c r="K28" s="7"/>
      <c r="L28" s="7"/>
      <c r="M28" s="7">
        <v>0.3</v>
      </c>
      <c r="N28" s="7"/>
      <c r="O28" s="7"/>
      <c r="P28" s="7"/>
      <c r="Q28" s="7">
        <v>4</v>
      </c>
      <c r="R28" s="8">
        <v>9.3000000000000007</v>
      </c>
    </row>
    <row r="29" spans="1:18" x14ac:dyDescent="0.25">
      <c r="A29" s="4"/>
      <c r="B29" s="6" t="s">
        <v>364</v>
      </c>
      <c r="C29" s="6"/>
      <c r="D29" s="7"/>
      <c r="E29" s="7"/>
      <c r="F29" s="7"/>
      <c r="G29" s="7"/>
      <c r="H29" s="7">
        <v>13</v>
      </c>
      <c r="I29" s="7"/>
      <c r="J29" s="7"/>
      <c r="K29" s="7"/>
      <c r="L29" s="7"/>
      <c r="M29" s="7"/>
      <c r="N29" s="7"/>
      <c r="O29" s="7"/>
      <c r="P29" s="7"/>
      <c r="Q29" s="7"/>
      <c r="R29" s="8">
        <v>13</v>
      </c>
    </row>
    <row r="30" spans="1:18" x14ac:dyDescent="0.25">
      <c r="A30" s="4"/>
      <c r="B30" s="6" t="s">
        <v>365</v>
      </c>
      <c r="C30" s="6"/>
      <c r="D30" s="7"/>
      <c r="E30" s="7"/>
      <c r="F30" s="7"/>
      <c r="G30" s="7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8">
        <v>1</v>
      </c>
    </row>
    <row r="31" spans="1:18" x14ac:dyDescent="0.25">
      <c r="A31" s="4"/>
      <c r="B31" s="6" t="s">
        <v>366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v>3</v>
      </c>
      <c r="O31" s="7"/>
      <c r="P31" s="7"/>
      <c r="Q31" s="7"/>
      <c r="R31" s="8">
        <v>3</v>
      </c>
    </row>
    <row r="32" spans="1:18" x14ac:dyDescent="0.25">
      <c r="A32" s="4"/>
      <c r="B32" s="6" t="s">
        <v>367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11</v>
      </c>
      <c r="O32" s="7"/>
      <c r="P32" s="7"/>
      <c r="Q32" s="7"/>
      <c r="R32" s="8">
        <v>11</v>
      </c>
    </row>
    <row r="33" spans="1:18" x14ac:dyDescent="0.25">
      <c r="A33" s="4"/>
      <c r="B33" s="5" t="s">
        <v>368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1</v>
      </c>
      <c r="P33" s="7"/>
      <c r="Q33" s="7"/>
      <c r="R33" s="8">
        <v>1</v>
      </c>
    </row>
    <row r="34" spans="1:18" x14ac:dyDescent="0.25">
      <c r="A34" s="4"/>
      <c r="B34" s="6" t="s">
        <v>369</v>
      </c>
      <c r="C34" s="6"/>
      <c r="D34" s="7"/>
      <c r="E34" s="7"/>
      <c r="F34" s="7"/>
      <c r="G34" s="7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1</v>
      </c>
    </row>
    <row r="35" spans="1:18" x14ac:dyDescent="0.25">
      <c r="A35" s="4"/>
      <c r="B35" s="6" t="s">
        <v>370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2</v>
      </c>
      <c r="R35" s="8">
        <v>2</v>
      </c>
    </row>
    <row r="36" spans="1:18" x14ac:dyDescent="0.25">
      <c r="A36" s="4"/>
      <c r="B36" s="6" t="s">
        <v>346</v>
      </c>
      <c r="C36" s="6">
        <v>1</v>
      </c>
      <c r="D36" s="7"/>
      <c r="E36" s="7"/>
      <c r="F36" s="7"/>
      <c r="G36" s="7"/>
      <c r="H36" s="7"/>
      <c r="I36" s="7"/>
      <c r="J36" s="7">
        <v>1</v>
      </c>
      <c r="K36" s="7"/>
      <c r="L36" s="7"/>
      <c r="M36" s="7"/>
      <c r="N36" s="7"/>
      <c r="O36" s="7"/>
      <c r="P36" s="7"/>
      <c r="Q36" s="7"/>
      <c r="R36" s="8">
        <v>2</v>
      </c>
    </row>
    <row r="37" spans="1:18" x14ac:dyDescent="0.25">
      <c r="A37" s="4"/>
      <c r="B37" s="6" t="s">
        <v>371</v>
      </c>
      <c r="C37" s="6"/>
      <c r="D37" s="7">
        <v>1</v>
      </c>
      <c r="E37" s="7"/>
      <c r="F37" s="7"/>
      <c r="G37" s="7"/>
      <c r="H37" s="7">
        <v>1</v>
      </c>
      <c r="I37" s="7"/>
      <c r="J37" s="7"/>
      <c r="K37" s="7"/>
      <c r="L37" s="7"/>
      <c r="M37" s="7"/>
      <c r="N37" s="7"/>
      <c r="O37" s="7"/>
      <c r="P37" s="7">
        <v>1</v>
      </c>
      <c r="Q37" s="7"/>
      <c r="R37" s="8">
        <v>3</v>
      </c>
    </row>
    <row r="38" spans="1:18" x14ac:dyDescent="0.25">
      <c r="A38" s="4"/>
      <c r="B38" s="6" t="s">
        <v>269</v>
      </c>
      <c r="C38" s="6">
        <v>28.75</v>
      </c>
      <c r="D38" s="7">
        <v>1</v>
      </c>
      <c r="E38" s="7"/>
      <c r="F38" s="7">
        <v>10.7</v>
      </c>
      <c r="G38" s="7"/>
      <c r="H38" s="7">
        <v>12</v>
      </c>
      <c r="I38" s="7"/>
      <c r="J38" s="7"/>
      <c r="K38" s="7">
        <v>2</v>
      </c>
      <c r="L38" s="7"/>
      <c r="M38" s="7"/>
      <c r="N38" s="7">
        <v>1</v>
      </c>
      <c r="O38" s="7"/>
      <c r="P38" s="7">
        <v>3</v>
      </c>
      <c r="Q38" s="7"/>
      <c r="R38" s="8">
        <v>58.45</v>
      </c>
    </row>
    <row r="39" spans="1:18" x14ac:dyDescent="0.25">
      <c r="A39" s="4"/>
      <c r="B39" s="6" t="s">
        <v>271</v>
      </c>
      <c r="C39" s="6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>
        <v>4</v>
      </c>
    </row>
    <row r="40" spans="1:18" x14ac:dyDescent="0.25">
      <c r="A40" s="4"/>
      <c r="B40" s="6" t="s">
        <v>372</v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8">
        <v>1</v>
      </c>
    </row>
    <row r="41" spans="1:18" x14ac:dyDescent="0.25">
      <c r="A41" s="4"/>
      <c r="B41" s="6" t="s">
        <v>373</v>
      </c>
      <c r="C41" s="6"/>
      <c r="D41" s="7">
        <v>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1</v>
      </c>
    </row>
    <row r="42" spans="1:18" x14ac:dyDescent="0.25">
      <c r="A42" s="4"/>
      <c r="B42" s="6" t="s">
        <v>276</v>
      </c>
      <c r="C42" s="6">
        <v>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2</v>
      </c>
    </row>
    <row r="43" spans="1:18" x14ac:dyDescent="0.25">
      <c r="A43" s="4"/>
      <c r="B43" s="6" t="s">
        <v>374</v>
      </c>
      <c r="C43" s="6"/>
      <c r="D43" s="7">
        <v>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v>1</v>
      </c>
    </row>
    <row r="44" spans="1:18" x14ac:dyDescent="0.25">
      <c r="A44" s="4"/>
      <c r="B44" s="6" t="s">
        <v>279</v>
      </c>
      <c r="C44" s="6">
        <v>0.25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0.25</v>
      </c>
    </row>
    <row r="45" spans="1:18" x14ac:dyDescent="0.25">
      <c r="A45" s="4"/>
      <c r="B45" s="6" t="s">
        <v>375</v>
      </c>
      <c r="C45" s="6">
        <v>15.5</v>
      </c>
      <c r="D45" s="7"/>
      <c r="E45" s="7"/>
      <c r="F45" s="7">
        <v>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2</v>
      </c>
      <c r="R45" s="8">
        <v>24.5</v>
      </c>
    </row>
    <row r="46" spans="1:18" x14ac:dyDescent="0.25">
      <c r="A46" s="4"/>
      <c r="B46" s="6" t="s">
        <v>283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1</v>
      </c>
      <c r="R46" s="8">
        <v>1</v>
      </c>
    </row>
    <row r="47" spans="1:18" x14ac:dyDescent="0.25">
      <c r="A47" s="4"/>
      <c r="B47" s="6" t="s">
        <v>284</v>
      </c>
      <c r="C47" s="6"/>
      <c r="D47" s="7"/>
      <c r="E47" s="7"/>
      <c r="F47" s="7"/>
      <c r="G47" s="7"/>
      <c r="H47" s="7"/>
      <c r="I47" s="7">
        <v>0.5</v>
      </c>
      <c r="J47" s="7"/>
      <c r="K47" s="7"/>
      <c r="L47" s="7"/>
      <c r="M47" s="7"/>
      <c r="N47" s="7">
        <v>2</v>
      </c>
      <c r="O47" s="7"/>
      <c r="P47" s="7"/>
      <c r="Q47" s="7"/>
      <c r="R47" s="8">
        <v>2.5</v>
      </c>
    </row>
    <row r="48" spans="1:18" x14ac:dyDescent="0.25">
      <c r="A48" s="4"/>
      <c r="B48" s="6" t="s">
        <v>376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>
        <v>1</v>
      </c>
      <c r="P48" s="7"/>
      <c r="Q48" s="7"/>
      <c r="R48" s="8">
        <v>1</v>
      </c>
    </row>
    <row r="49" spans="1:18" x14ac:dyDescent="0.25">
      <c r="A49" s="4"/>
      <c r="B49" s="6" t="s">
        <v>298</v>
      </c>
      <c r="C49" s="6"/>
      <c r="D49" s="7"/>
      <c r="E49" s="7"/>
      <c r="F49" s="7"/>
      <c r="G49" s="7"/>
      <c r="H49" s="7">
        <v>3</v>
      </c>
      <c r="I49" s="7"/>
      <c r="J49" s="7"/>
      <c r="K49" s="7">
        <v>1</v>
      </c>
      <c r="L49" s="7">
        <v>1</v>
      </c>
      <c r="M49" s="7"/>
      <c r="N49" s="7"/>
      <c r="O49" s="7"/>
      <c r="P49" s="7"/>
      <c r="Q49" s="7"/>
      <c r="R49" s="8">
        <v>5</v>
      </c>
    </row>
    <row r="50" spans="1:18" x14ac:dyDescent="0.25">
      <c r="A50" s="4"/>
      <c r="B50" s="6" t="s">
        <v>377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1</v>
      </c>
      <c r="R50" s="8">
        <v>1</v>
      </c>
    </row>
    <row r="51" spans="1:18" x14ac:dyDescent="0.25">
      <c r="A51" s="4"/>
      <c r="B51" s="6" t="s">
        <v>378</v>
      </c>
      <c r="C51" s="6"/>
      <c r="D51" s="7"/>
      <c r="E51" s="7"/>
      <c r="F51" s="7"/>
      <c r="G51" s="7"/>
      <c r="H51" s="7">
        <v>1</v>
      </c>
      <c r="I51" s="7"/>
      <c r="J51" s="7"/>
      <c r="K51" s="7"/>
      <c r="L51" s="7"/>
      <c r="M51" s="7"/>
      <c r="N51" s="7"/>
      <c r="O51" s="7"/>
      <c r="P51" s="7"/>
      <c r="Q51" s="7"/>
      <c r="R51" s="8">
        <v>1</v>
      </c>
    </row>
    <row r="52" spans="1:18" x14ac:dyDescent="0.25">
      <c r="A52" s="4"/>
      <c r="B52" s="6" t="s">
        <v>379</v>
      </c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12.7</v>
      </c>
      <c r="R52" s="8">
        <v>12.7</v>
      </c>
    </row>
    <row r="53" spans="1:18" x14ac:dyDescent="0.25">
      <c r="A53" s="4"/>
      <c r="B53" s="6" t="s">
        <v>380</v>
      </c>
      <c r="C53" s="6"/>
      <c r="D53" s="7"/>
      <c r="E53" s="7"/>
      <c r="F53" s="7">
        <v>0.5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 x14ac:dyDescent="0.25">
      <c r="A54" s="4"/>
      <c r="B54" s="6" t="s">
        <v>381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v>1</v>
      </c>
      <c r="O54" s="7"/>
      <c r="P54" s="7"/>
      <c r="Q54" s="7"/>
      <c r="R54" s="8">
        <v>1</v>
      </c>
    </row>
    <row r="55" spans="1:18" x14ac:dyDescent="0.25">
      <c r="A55" s="4"/>
      <c r="B55" s="6" t="s">
        <v>382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 x14ac:dyDescent="0.25">
      <c r="A56" s="4"/>
      <c r="B56" s="6" t="s">
        <v>383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v>3</v>
      </c>
      <c r="P56" s="7"/>
      <c r="Q56" s="7"/>
      <c r="R56" s="8">
        <v>3</v>
      </c>
    </row>
    <row r="57" spans="1:18" x14ac:dyDescent="0.25">
      <c r="A57" s="4"/>
      <c r="B57" s="6" t="s">
        <v>384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</v>
      </c>
      <c r="O57" s="7"/>
      <c r="P57" s="7"/>
      <c r="Q57" s="7"/>
      <c r="R57" s="8">
        <v>1</v>
      </c>
    </row>
    <row r="58" spans="1:18" x14ac:dyDescent="0.25">
      <c r="A58" s="4"/>
      <c r="B58" s="6" t="s">
        <v>385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v>2</v>
      </c>
      <c r="O58" s="7"/>
      <c r="P58" s="7"/>
      <c r="Q58" s="7"/>
      <c r="R58" s="8">
        <v>2</v>
      </c>
    </row>
    <row r="59" spans="1:18" x14ac:dyDescent="0.25">
      <c r="A59" s="4"/>
      <c r="B59" s="6" t="s">
        <v>348</v>
      </c>
      <c r="C59" s="6"/>
      <c r="D59" s="7"/>
      <c r="E59" s="7"/>
      <c r="F59" s="7"/>
      <c r="G59" s="7"/>
      <c r="H59" s="7"/>
      <c r="I59" s="7"/>
      <c r="J59" s="7"/>
      <c r="K59" s="7">
        <v>1.5</v>
      </c>
      <c r="L59" s="7"/>
      <c r="M59" s="7"/>
      <c r="N59" s="7"/>
      <c r="O59" s="7"/>
      <c r="P59" s="7"/>
      <c r="Q59" s="7"/>
      <c r="R59" s="8">
        <v>1.5</v>
      </c>
    </row>
    <row r="60" spans="1:18" x14ac:dyDescent="0.25">
      <c r="A60" s="4"/>
      <c r="B60" s="5" t="s">
        <v>386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1</v>
      </c>
    </row>
    <row r="61" spans="1:18" x14ac:dyDescent="0.25">
      <c r="A61" s="4"/>
      <c r="B61" s="6" t="s">
        <v>387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v>1</v>
      </c>
      <c r="P61" s="7"/>
      <c r="Q61" s="7"/>
      <c r="R61" s="8">
        <v>1</v>
      </c>
    </row>
    <row r="62" spans="1:18" x14ac:dyDescent="0.25">
      <c r="A62" s="4"/>
      <c r="B62" s="6" t="s">
        <v>388</v>
      </c>
      <c r="C62" s="6"/>
      <c r="D62" s="7"/>
      <c r="E62" s="7"/>
      <c r="F62" s="7"/>
      <c r="G62" s="7"/>
      <c r="H62" s="7"/>
      <c r="I62" s="7"/>
      <c r="J62" s="7"/>
      <c r="K62" s="7"/>
      <c r="L62" s="7">
        <v>1</v>
      </c>
      <c r="M62" s="7"/>
      <c r="N62" s="7"/>
      <c r="O62" s="7"/>
      <c r="P62" s="7"/>
      <c r="Q62" s="7"/>
      <c r="R62" s="8">
        <v>1</v>
      </c>
    </row>
    <row r="63" spans="1:18" x14ac:dyDescent="0.25">
      <c r="A63" s="4"/>
      <c r="B63" s="6" t="s">
        <v>389</v>
      </c>
      <c r="C63" s="6"/>
      <c r="D63" s="7"/>
      <c r="E63" s="7"/>
      <c r="F63" s="7"/>
      <c r="G63" s="7"/>
      <c r="H63" s="7"/>
      <c r="I63" s="7"/>
      <c r="J63" s="7"/>
      <c r="K63" s="7">
        <v>18</v>
      </c>
      <c r="L63" s="7"/>
      <c r="M63" s="7"/>
      <c r="N63" s="7"/>
      <c r="O63" s="7"/>
      <c r="P63" s="7"/>
      <c r="Q63" s="7"/>
      <c r="R63" s="8">
        <v>18</v>
      </c>
    </row>
    <row r="64" spans="1:18" x14ac:dyDescent="0.25">
      <c r="A64" s="4"/>
      <c r="B64" s="6" t="s">
        <v>390</v>
      </c>
      <c r="C64" s="6"/>
      <c r="D64" s="7"/>
      <c r="E64" s="7"/>
      <c r="F64" s="7"/>
      <c r="G64" s="7"/>
      <c r="H64" s="7"/>
      <c r="I64" s="7"/>
      <c r="J64" s="7"/>
      <c r="K64" s="7">
        <v>2</v>
      </c>
      <c r="L64" s="7"/>
      <c r="M64" s="7"/>
      <c r="N64" s="7"/>
      <c r="O64" s="7"/>
      <c r="P64" s="7"/>
      <c r="Q64" s="7"/>
      <c r="R64" s="8">
        <v>2</v>
      </c>
    </row>
    <row r="65" spans="1:18" x14ac:dyDescent="0.25">
      <c r="A65" s="4"/>
      <c r="B65" s="6" t="s">
        <v>315</v>
      </c>
      <c r="C65" s="6"/>
      <c r="D65" s="7"/>
      <c r="E65" s="7"/>
      <c r="F65" s="7">
        <v>6</v>
      </c>
      <c r="G65" s="7">
        <v>11</v>
      </c>
      <c r="H65" s="7">
        <v>16</v>
      </c>
      <c r="I65" s="7">
        <v>1</v>
      </c>
      <c r="J65" s="7"/>
      <c r="K65" s="7"/>
      <c r="L65" s="7"/>
      <c r="M65" s="7"/>
      <c r="N65" s="7"/>
      <c r="O65" s="7">
        <v>1</v>
      </c>
      <c r="P65" s="7"/>
      <c r="Q65" s="7"/>
      <c r="R65" s="8">
        <v>35</v>
      </c>
    </row>
    <row r="66" spans="1:18" x14ac:dyDescent="0.25">
      <c r="A66" s="4"/>
      <c r="B66" s="6" t="s">
        <v>391</v>
      </c>
      <c r="C66" s="6"/>
      <c r="D66" s="7"/>
      <c r="E66" s="7"/>
      <c r="F66" s="7"/>
      <c r="G66" s="7">
        <v>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8">
        <v>1</v>
      </c>
    </row>
    <row r="67" spans="1:18" x14ac:dyDescent="0.25">
      <c r="A67" s="4"/>
      <c r="B67" s="6" t="s">
        <v>392</v>
      </c>
      <c r="C67" s="6"/>
      <c r="D67" s="7"/>
      <c r="E67" s="7"/>
      <c r="F67" s="7"/>
      <c r="G67" s="7">
        <v>3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8">
        <v>3</v>
      </c>
    </row>
    <row r="68" spans="1:18" x14ac:dyDescent="0.25">
      <c r="A68" s="4"/>
      <c r="B68" s="6" t="s">
        <v>393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2</v>
      </c>
      <c r="O68" s="7"/>
      <c r="P68" s="7"/>
      <c r="Q68" s="7"/>
      <c r="R68" s="8">
        <v>2</v>
      </c>
    </row>
    <row r="69" spans="1:18" x14ac:dyDescent="0.25">
      <c r="A69" s="4"/>
      <c r="B69" s="6" t="s">
        <v>394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1</v>
      </c>
    </row>
    <row r="70" spans="1:18" x14ac:dyDescent="0.25">
      <c r="A70" s="9" t="s">
        <v>18</v>
      </c>
      <c r="B70" s="10"/>
      <c r="C70" s="9">
        <v>297.2</v>
      </c>
      <c r="D70" s="11">
        <v>19.5</v>
      </c>
      <c r="E70" s="11">
        <v>0.65</v>
      </c>
      <c r="F70" s="11">
        <v>40.200000000000003</v>
      </c>
      <c r="G70" s="11">
        <v>69</v>
      </c>
      <c r="H70" s="11">
        <v>174</v>
      </c>
      <c r="I70" s="11">
        <v>15.5</v>
      </c>
      <c r="J70" s="11">
        <v>1</v>
      </c>
      <c r="K70" s="11">
        <v>24.5</v>
      </c>
      <c r="L70" s="11">
        <v>6</v>
      </c>
      <c r="M70" s="11">
        <v>14.2</v>
      </c>
      <c r="N70" s="11">
        <v>32</v>
      </c>
      <c r="O70" s="11">
        <v>8</v>
      </c>
      <c r="P70" s="11">
        <v>6.25</v>
      </c>
      <c r="Q70" s="11">
        <v>50.7</v>
      </c>
      <c r="R70" s="12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 x14ac:dyDescent="0.25"/>
  <cols>
    <col min="1" max="1" width="34.28515625" customWidth="1"/>
    <col min="2" max="2" width="59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 x14ac:dyDescent="0.25">
      <c r="A2" s="1" t="s">
        <v>395</v>
      </c>
      <c r="B2" s="1" t="s">
        <v>396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 x14ac:dyDescent="0.25">
      <c r="A3" s="4"/>
      <c r="B3" s="6" t="s">
        <v>397</v>
      </c>
      <c r="C3" s="6"/>
      <c r="D3" s="7"/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>
        <v>1</v>
      </c>
    </row>
    <row r="4" spans="1:18" x14ac:dyDescent="0.25">
      <c r="A4" s="4"/>
      <c r="B4" s="6" t="s">
        <v>398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>
        <v>1</v>
      </c>
      <c r="O4" s="7"/>
      <c r="P4" s="7"/>
      <c r="Q4" s="7"/>
      <c r="R4" s="8">
        <v>1</v>
      </c>
    </row>
    <row r="5" spans="1:18" x14ac:dyDescent="0.25">
      <c r="A5" s="4"/>
      <c r="B5" s="6" t="s">
        <v>399</v>
      </c>
      <c r="C5" s="6"/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 x14ac:dyDescent="0.25">
      <c r="A6" s="4"/>
      <c r="B6" s="6" t="s">
        <v>400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8">
        <v>1</v>
      </c>
    </row>
    <row r="7" spans="1:18" x14ac:dyDescent="0.25">
      <c r="A7" s="4"/>
      <c r="B7" s="6" t="s">
        <v>401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>
        <v>3</v>
      </c>
      <c r="O7" s="7"/>
      <c r="P7" s="7"/>
      <c r="Q7" s="7"/>
      <c r="R7" s="8">
        <v>3</v>
      </c>
    </row>
    <row r="8" spans="1:18" x14ac:dyDescent="0.25">
      <c r="A8" s="4"/>
      <c r="B8" s="6" t="s">
        <v>402</v>
      </c>
      <c r="C8" s="6"/>
      <c r="D8" s="7"/>
      <c r="E8" s="7">
        <v>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4</v>
      </c>
    </row>
    <row r="9" spans="1:18" x14ac:dyDescent="0.25">
      <c r="A9" s="4"/>
      <c r="B9" s="6" t="s">
        <v>403</v>
      </c>
      <c r="C9" s="6"/>
      <c r="D9" s="7"/>
      <c r="E9" s="7">
        <v>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>
        <v>4</v>
      </c>
    </row>
    <row r="10" spans="1:18" x14ac:dyDescent="0.25">
      <c r="A10" s="4"/>
      <c r="B10" s="6" t="s">
        <v>404</v>
      </c>
      <c r="C10" s="6"/>
      <c r="D10" s="7"/>
      <c r="E10" s="7">
        <v>5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8">
        <v>6</v>
      </c>
    </row>
    <row r="11" spans="1:18" x14ac:dyDescent="0.25">
      <c r="A11" s="4"/>
      <c r="B11" s="6" t="s">
        <v>405</v>
      </c>
      <c r="C11" s="6"/>
      <c r="D11" s="7"/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</v>
      </c>
    </row>
    <row r="12" spans="1:18" x14ac:dyDescent="0.25">
      <c r="A12" s="4"/>
      <c r="B12" s="6" t="s">
        <v>406</v>
      </c>
      <c r="C12" s="6"/>
      <c r="D12" s="7"/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v>1</v>
      </c>
    </row>
    <row r="13" spans="1:18" x14ac:dyDescent="0.25">
      <c r="A13" s="4"/>
      <c r="B13" s="6" t="s">
        <v>407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>
        <v>1</v>
      </c>
      <c r="O13" s="7"/>
      <c r="P13" s="7"/>
      <c r="Q13" s="7"/>
      <c r="R13" s="8">
        <v>1</v>
      </c>
    </row>
    <row r="14" spans="1:18" x14ac:dyDescent="0.25">
      <c r="A14" s="4"/>
      <c r="B14" s="6" t="s">
        <v>408</v>
      </c>
      <c r="C14" s="6"/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v>1</v>
      </c>
    </row>
    <row r="15" spans="1:18" x14ac:dyDescent="0.25">
      <c r="A15" s="4"/>
      <c r="B15" s="6" t="s">
        <v>409</v>
      </c>
      <c r="C15" s="6"/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v>1</v>
      </c>
    </row>
    <row r="16" spans="1:18" x14ac:dyDescent="0.25">
      <c r="A16" s="4"/>
      <c r="B16" s="6" t="s">
        <v>410</v>
      </c>
      <c r="C16" s="6"/>
      <c r="D16" s="7"/>
      <c r="E16" s="7">
        <v>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v>3</v>
      </c>
    </row>
    <row r="17" spans="1:18" x14ac:dyDescent="0.25">
      <c r="A17" s="4"/>
      <c r="B17" s="6" t="s">
        <v>411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</v>
      </c>
      <c r="O17" s="7"/>
      <c r="P17" s="7"/>
      <c r="Q17" s="7"/>
      <c r="R17" s="8">
        <v>1</v>
      </c>
    </row>
    <row r="18" spans="1:18" x14ac:dyDescent="0.25">
      <c r="A18" s="4"/>
      <c r="B18" s="6" t="s">
        <v>412</v>
      </c>
      <c r="C18" s="6"/>
      <c r="D18" s="7"/>
      <c r="E18" s="7">
        <v>0.3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>
        <v>0.3</v>
      </c>
    </row>
    <row r="19" spans="1:18" x14ac:dyDescent="0.25">
      <c r="A19" s="4"/>
      <c r="B19" s="6" t="s">
        <v>413</v>
      </c>
      <c r="C19" s="6"/>
      <c r="D19" s="7"/>
      <c r="E19" s="7"/>
      <c r="F19" s="7"/>
      <c r="G19" s="7"/>
      <c r="H19" s="7">
        <v>3</v>
      </c>
      <c r="I19" s="7"/>
      <c r="J19" s="7"/>
      <c r="K19" s="7"/>
      <c r="L19" s="7"/>
      <c r="M19" s="7"/>
      <c r="N19" s="7"/>
      <c r="O19" s="7"/>
      <c r="P19" s="7"/>
      <c r="Q19" s="7"/>
      <c r="R19" s="8">
        <v>3</v>
      </c>
    </row>
    <row r="20" spans="1:18" x14ac:dyDescent="0.25">
      <c r="A20" s="4"/>
      <c r="B20" s="6" t="s">
        <v>414</v>
      </c>
      <c r="C20" s="6"/>
      <c r="D20" s="7"/>
      <c r="E20" s="7"/>
      <c r="F20" s="7"/>
      <c r="G20" s="7"/>
      <c r="H20" s="7">
        <v>2</v>
      </c>
      <c r="I20" s="7"/>
      <c r="J20" s="7"/>
      <c r="K20" s="7"/>
      <c r="L20" s="7"/>
      <c r="M20" s="7"/>
      <c r="N20" s="7"/>
      <c r="O20" s="7"/>
      <c r="P20" s="7"/>
      <c r="Q20" s="7"/>
      <c r="R20" s="8">
        <v>2</v>
      </c>
    </row>
    <row r="21" spans="1:18" x14ac:dyDescent="0.25">
      <c r="A21" s="4"/>
      <c r="B21" s="6" t="s">
        <v>415</v>
      </c>
      <c r="C21" s="6"/>
      <c r="D21" s="7"/>
      <c r="E21" s="7"/>
      <c r="F21" s="7"/>
      <c r="G21" s="7"/>
      <c r="H21" s="7">
        <v>6</v>
      </c>
      <c r="I21" s="7"/>
      <c r="J21" s="7"/>
      <c r="K21" s="7"/>
      <c r="L21" s="7"/>
      <c r="M21" s="7"/>
      <c r="N21" s="7"/>
      <c r="O21" s="7"/>
      <c r="P21" s="7"/>
      <c r="Q21" s="7"/>
      <c r="R21" s="8">
        <v>6</v>
      </c>
    </row>
    <row r="22" spans="1:18" x14ac:dyDescent="0.25">
      <c r="A22" s="4"/>
      <c r="B22" s="6" t="s">
        <v>416</v>
      </c>
      <c r="C22" s="6"/>
      <c r="D22" s="7"/>
      <c r="E22" s="7"/>
      <c r="F22" s="7"/>
      <c r="G22" s="7"/>
      <c r="H22" s="7">
        <v>15.25</v>
      </c>
      <c r="I22" s="7"/>
      <c r="J22" s="7">
        <v>1</v>
      </c>
      <c r="K22" s="7"/>
      <c r="L22" s="7"/>
      <c r="M22" s="7"/>
      <c r="N22" s="7"/>
      <c r="O22" s="7"/>
      <c r="P22" s="7"/>
      <c r="Q22" s="7"/>
      <c r="R22" s="8">
        <v>16.25</v>
      </c>
    </row>
    <row r="23" spans="1:18" x14ac:dyDescent="0.25">
      <c r="A23" s="4"/>
      <c r="B23" s="6" t="s">
        <v>417</v>
      </c>
      <c r="C23" s="6">
        <v>6</v>
      </c>
      <c r="D23" s="7">
        <v>1</v>
      </c>
      <c r="E23" s="7"/>
      <c r="F23" s="7">
        <v>1</v>
      </c>
      <c r="G23" s="7"/>
      <c r="H23" s="7">
        <v>1</v>
      </c>
      <c r="I23" s="7">
        <v>1</v>
      </c>
      <c r="J23" s="7"/>
      <c r="K23" s="7">
        <v>2</v>
      </c>
      <c r="L23" s="7"/>
      <c r="M23" s="7"/>
      <c r="N23" s="7"/>
      <c r="O23" s="7">
        <v>3.25</v>
      </c>
      <c r="P23" s="7">
        <v>3</v>
      </c>
      <c r="Q23" s="7">
        <v>0.5</v>
      </c>
      <c r="R23" s="8">
        <v>18.75</v>
      </c>
    </row>
    <row r="24" spans="1:18" x14ac:dyDescent="0.25">
      <c r="A24" s="4"/>
      <c r="B24" s="6" t="s">
        <v>418</v>
      </c>
      <c r="C24" s="6">
        <v>3</v>
      </c>
      <c r="D24" s="7"/>
      <c r="E24" s="7"/>
      <c r="F24" s="7"/>
      <c r="G24" s="7"/>
      <c r="H24" s="7">
        <v>5</v>
      </c>
      <c r="I24" s="7"/>
      <c r="J24" s="7"/>
      <c r="K24" s="7">
        <v>1</v>
      </c>
      <c r="L24" s="7"/>
      <c r="M24" s="7">
        <v>1</v>
      </c>
      <c r="N24" s="7"/>
      <c r="O24" s="7"/>
      <c r="P24" s="7">
        <v>4</v>
      </c>
      <c r="Q24" s="7"/>
      <c r="R24" s="8">
        <v>14</v>
      </c>
    </row>
    <row r="25" spans="1:18" x14ac:dyDescent="0.25">
      <c r="A25" s="4"/>
      <c r="B25" s="6" t="s">
        <v>419</v>
      </c>
      <c r="C25" s="6">
        <v>1</v>
      </c>
      <c r="D25" s="7"/>
      <c r="E25" s="7"/>
      <c r="F25" s="7"/>
      <c r="G25" s="7"/>
      <c r="H25" s="7">
        <v>4</v>
      </c>
      <c r="I25" s="7"/>
      <c r="J25" s="7">
        <v>2</v>
      </c>
      <c r="K25" s="7"/>
      <c r="L25" s="7"/>
      <c r="M25" s="7"/>
      <c r="N25" s="7"/>
      <c r="O25" s="7">
        <v>1</v>
      </c>
      <c r="P25" s="7"/>
      <c r="Q25" s="7"/>
      <c r="R25" s="8">
        <v>8</v>
      </c>
    </row>
    <row r="26" spans="1:18" x14ac:dyDescent="0.25">
      <c r="A26" s="4"/>
      <c r="B26" s="6" t="s">
        <v>420</v>
      </c>
      <c r="C26" s="6"/>
      <c r="D26" s="7"/>
      <c r="E26" s="7"/>
      <c r="F26" s="7"/>
      <c r="G26" s="7"/>
      <c r="H26" s="7">
        <v>4</v>
      </c>
      <c r="I26" s="7"/>
      <c r="J26" s="7"/>
      <c r="K26" s="7"/>
      <c r="L26" s="7"/>
      <c r="M26" s="7"/>
      <c r="N26" s="7"/>
      <c r="O26" s="7"/>
      <c r="P26" s="7"/>
      <c r="Q26" s="7"/>
      <c r="R26" s="8">
        <v>4</v>
      </c>
    </row>
    <row r="27" spans="1:18" x14ac:dyDescent="0.25">
      <c r="A27" s="4"/>
      <c r="B27" s="5" t="s">
        <v>421</v>
      </c>
      <c r="C27" s="6">
        <v>47</v>
      </c>
      <c r="D27" s="7">
        <v>13</v>
      </c>
      <c r="E27" s="7"/>
      <c r="F27" s="7"/>
      <c r="G27" s="7"/>
      <c r="H27" s="7"/>
      <c r="I27" s="7">
        <v>2</v>
      </c>
      <c r="J27" s="7"/>
      <c r="K27" s="7">
        <v>6</v>
      </c>
      <c r="L27" s="7"/>
      <c r="M27" s="7">
        <v>3</v>
      </c>
      <c r="N27" s="7"/>
      <c r="O27" s="7">
        <v>9</v>
      </c>
      <c r="P27" s="7"/>
      <c r="Q27" s="7"/>
      <c r="R27" s="8">
        <v>80</v>
      </c>
    </row>
    <row r="28" spans="1:18" x14ac:dyDescent="0.25">
      <c r="A28" s="4"/>
      <c r="B28" s="6" t="s">
        <v>422</v>
      </c>
      <c r="C28" s="6">
        <v>32</v>
      </c>
      <c r="D28" s="7"/>
      <c r="E28" s="7"/>
      <c r="F28" s="7"/>
      <c r="G28" s="7"/>
      <c r="H28" s="7">
        <v>31.3</v>
      </c>
      <c r="I28" s="7"/>
      <c r="J28" s="7">
        <v>1</v>
      </c>
      <c r="K28" s="7"/>
      <c r="L28" s="7"/>
      <c r="M28" s="7">
        <v>1</v>
      </c>
      <c r="N28" s="7"/>
      <c r="O28" s="7">
        <v>2</v>
      </c>
      <c r="P28" s="7"/>
      <c r="Q28" s="7"/>
      <c r="R28" s="8">
        <v>67.3</v>
      </c>
    </row>
    <row r="29" spans="1:18" x14ac:dyDescent="0.25">
      <c r="A29" s="4"/>
      <c r="B29" s="6" t="s">
        <v>423</v>
      </c>
      <c r="C29" s="6">
        <v>42</v>
      </c>
      <c r="D29" s="7"/>
      <c r="E29" s="7"/>
      <c r="F29" s="7"/>
      <c r="G29" s="7"/>
      <c r="H29" s="7">
        <v>47.25</v>
      </c>
      <c r="I29" s="7"/>
      <c r="J29" s="7"/>
      <c r="K29" s="7"/>
      <c r="L29" s="7"/>
      <c r="M29" s="7">
        <v>1</v>
      </c>
      <c r="N29" s="7"/>
      <c r="O29" s="7">
        <v>3</v>
      </c>
      <c r="P29" s="7"/>
      <c r="Q29" s="7"/>
      <c r="R29" s="8">
        <v>93.25</v>
      </c>
    </row>
    <row r="30" spans="1:18" x14ac:dyDescent="0.25">
      <c r="A30" s="4"/>
      <c r="B30" s="6" t="s">
        <v>424</v>
      </c>
      <c r="C30" s="6"/>
      <c r="D30" s="7"/>
      <c r="E30" s="7"/>
      <c r="F30" s="7"/>
      <c r="G30" s="7"/>
      <c r="H30" s="7">
        <v>45</v>
      </c>
      <c r="I30" s="7"/>
      <c r="J30" s="7"/>
      <c r="K30" s="7"/>
      <c r="L30" s="7"/>
      <c r="M30" s="7">
        <v>1</v>
      </c>
      <c r="N30" s="7"/>
      <c r="O30" s="7"/>
      <c r="P30" s="7"/>
      <c r="Q30" s="7"/>
      <c r="R30" s="8">
        <v>46</v>
      </c>
    </row>
    <row r="31" spans="1:18" x14ac:dyDescent="0.25">
      <c r="A31" s="4"/>
      <c r="B31" s="6" t="s">
        <v>425</v>
      </c>
      <c r="C31" s="6"/>
      <c r="D31" s="7"/>
      <c r="E31" s="7"/>
      <c r="F31" s="7"/>
      <c r="G31" s="7"/>
      <c r="H31" s="7">
        <v>0.25</v>
      </c>
      <c r="I31" s="7"/>
      <c r="J31" s="7"/>
      <c r="K31" s="7"/>
      <c r="L31" s="7"/>
      <c r="M31" s="7"/>
      <c r="N31" s="7">
        <v>1</v>
      </c>
      <c r="O31" s="7">
        <v>2</v>
      </c>
      <c r="P31" s="7"/>
      <c r="Q31" s="7"/>
      <c r="R31" s="8">
        <v>3.25</v>
      </c>
    </row>
    <row r="32" spans="1:18" x14ac:dyDescent="0.25">
      <c r="A32" s="4"/>
      <c r="B32" s="6" t="s">
        <v>426</v>
      </c>
      <c r="C32" s="6"/>
      <c r="D32" s="7"/>
      <c r="E32" s="7"/>
      <c r="F32" s="7"/>
      <c r="G32" s="7"/>
      <c r="H32" s="7">
        <v>2</v>
      </c>
      <c r="I32" s="7"/>
      <c r="J32" s="7"/>
      <c r="K32" s="7"/>
      <c r="L32" s="7"/>
      <c r="M32" s="7"/>
      <c r="N32" s="7"/>
      <c r="O32" s="7"/>
      <c r="P32" s="7"/>
      <c r="Q32" s="7"/>
      <c r="R32" s="8">
        <v>2</v>
      </c>
    </row>
    <row r="33" spans="1:18" x14ac:dyDescent="0.25">
      <c r="A33" s="4"/>
      <c r="B33" s="6" t="s">
        <v>427</v>
      </c>
      <c r="C33" s="6"/>
      <c r="D33" s="7"/>
      <c r="E33" s="7">
        <v>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1</v>
      </c>
    </row>
    <row r="34" spans="1:18" x14ac:dyDescent="0.25">
      <c r="A34" s="4"/>
      <c r="B34" s="6" t="s">
        <v>428</v>
      </c>
      <c r="C34" s="6"/>
      <c r="D34" s="7"/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2</v>
      </c>
    </row>
    <row r="35" spans="1:18" x14ac:dyDescent="0.25">
      <c r="A35" s="4"/>
      <c r="B35" s="6" t="s">
        <v>429</v>
      </c>
      <c r="C35" s="6"/>
      <c r="D35" s="7"/>
      <c r="E35" s="7">
        <v>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v>1</v>
      </c>
    </row>
    <row r="36" spans="1:18" x14ac:dyDescent="0.25">
      <c r="A36" s="4"/>
      <c r="B36" s="6" t="s">
        <v>430</v>
      </c>
      <c r="C36" s="6"/>
      <c r="D36" s="7"/>
      <c r="E36" s="7"/>
      <c r="F36" s="7"/>
      <c r="G36" s="7"/>
      <c r="H36" s="7"/>
      <c r="I36" s="7"/>
      <c r="J36" s="7"/>
      <c r="K36" s="7">
        <v>1</v>
      </c>
      <c r="L36" s="7"/>
      <c r="M36" s="7"/>
      <c r="N36" s="7"/>
      <c r="O36" s="7"/>
      <c r="P36" s="7"/>
      <c r="Q36" s="7"/>
      <c r="R36" s="8">
        <v>1</v>
      </c>
    </row>
    <row r="37" spans="1:18" x14ac:dyDescent="0.25">
      <c r="A37" s="4"/>
      <c r="B37" s="6" t="s">
        <v>431</v>
      </c>
      <c r="C37" s="6"/>
      <c r="D37" s="7"/>
      <c r="E37" s="7"/>
      <c r="F37" s="7"/>
      <c r="G37" s="7"/>
      <c r="H37" s="7">
        <v>1.5</v>
      </c>
      <c r="I37" s="7"/>
      <c r="J37" s="7"/>
      <c r="K37" s="7"/>
      <c r="L37" s="7"/>
      <c r="M37" s="7"/>
      <c r="N37" s="7"/>
      <c r="O37" s="7"/>
      <c r="P37" s="7"/>
      <c r="Q37" s="7"/>
      <c r="R37" s="8">
        <v>1.5</v>
      </c>
    </row>
    <row r="38" spans="1:18" x14ac:dyDescent="0.25">
      <c r="A38" s="4"/>
      <c r="B38" s="6" t="s">
        <v>432</v>
      </c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v>1</v>
      </c>
      <c r="P38" s="7"/>
      <c r="Q38" s="7"/>
      <c r="R38" s="8">
        <v>1</v>
      </c>
    </row>
    <row r="39" spans="1:18" x14ac:dyDescent="0.25">
      <c r="A39" s="4"/>
      <c r="B39" s="6" t="s">
        <v>433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>
        <v>1</v>
      </c>
      <c r="N39" s="7"/>
      <c r="O39" s="7"/>
      <c r="P39" s="7"/>
      <c r="Q39" s="7"/>
      <c r="R39" s="8">
        <v>1</v>
      </c>
    </row>
    <row r="40" spans="1:18" x14ac:dyDescent="0.25">
      <c r="A40" s="4"/>
      <c r="B40" s="6" t="s">
        <v>434</v>
      </c>
      <c r="C40" s="6">
        <v>2</v>
      </c>
      <c r="D40" s="7"/>
      <c r="E40" s="7"/>
      <c r="F40" s="7"/>
      <c r="G40" s="7"/>
      <c r="H40" s="7">
        <v>3</v>
      </c>
      <c r="I40" s="7"/>
      <c r="J40" s="7"/>
      <c r="K40" s="7"/>
      <c r="L40" s="7"/>
      <c r="M40" s="7"/>
      <c r="N40" s="7"/>
      <c r="O40" s="7"/>
      <c r="P40" s="7"/>
      <c r="Q40" s="7"/>
      <c r="R40" s="8">
        <v>5</v>
      </c>
    </row>
    <row r="41" spans="1:18" x14ac:dyDescent="0.25">
      <c r="A41" s="4"/>
      <c r="B41" s="6" t="s">
        <v>435</v>
      </c>
      <c r="C41" s="6"/>
      <c r="D41" s="7"/>
      <c r="E41" s="7"/>
      <c r="F41" s="7"/>
      <c r="G41" s="7">
        <v>8</v>
      </c>
      <c r="H41" s="7">
        <v>1</v>
      </c>
      <c r="I41" s="7"/>
      <c r="J41" s="7"/>
      <c r="K41" s="7"/>
      <c r="L41" s="7"/>
      <c r="M41" s="7"/>
      <c r="N41" s="7"/>
      <c r="O41" s="7"/>
      <c r="P41" s="7"/>
      <c r="Q41" s="7"/>
      <c r="R41" s="8">
        <v>9</v>
      </c>
    </row>
    <row r="42" spans="1:18" x14ac:dyDescent="0.25">
      <c r="A42" s="4"/>
      <c r="B42" s="6" t="s">
        <v>436</v>
      </c>
      <c r="C42" s="6"/>
      <c r="D42" s="7"/>
      <c r="E42" s="7"/>
      <c r="F42" s="7"/>
      <c r="G42" s="7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 x14ac:dyDescent="0.25">
      <c r="A43" s="4"/>
      <c r="B43" s="6" t="s">
        <v>437</v>
      </c>
      <c r="C43" s="6">
        <v>1</v>
      </c>
      <c r="D43" s="7"/>
      <c r="E43" s="7"/>
      <c r="F43" s="7"/>
      <c r="G43" s="7"/>
      <c r="H43" s="7">
        <v>1</v>
      </c>
      <c r="I43" s="7"/>
      <c r="J43" s="7"/>
      <c r="K43" s="7"/>
      <c r="L43" s="7"/>
      <c r="M43" s="7"/>
      <c r="N43" s="7"/>
      <c r="O43" s="7"/>
      <c r="P43" s="7"/>
      <c r="Q43" s="7"/>
      <c r="R43" s="8">
        <v>2</v>
      </c>
    </row>
    <row r="44" spans="1:18" x14ac:dyDescent="0.25">
      <c r="A44" s="4"/>
      <c r="B44" s="6" t="s">
        <v>438</v>
      </c>
      <c r="C44" s="6"/>
      <c r="D44" s="7"/>
      <c r="E44" s="7"/>
      <c r="F44" s="7"/>
      <c r="G44" s="7">
        <v>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9</v>
      </c>
    </row>
    <row r="45" spans="1:18" x14ac:dyDescent="0.25">
      <c r="A45" s="4"/>
      <c r="B45" s="6" t="s">
        <v>439</v>
      </c>
      <c r="C45" s="6">
        <v>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</v>
      </c>
    </row>
    <row r="46" spans="1:18" x14ac:dyDescent="0.25">
      <c r="A46" s="4"/>
      <c r="B46" s="6" t="s">
        <v>440</v>
      </c>
      <c r="C46" s="6">
        <v>1</v>
      </c>
      <c r="D46" s="7"/>
      <c r="E46" s="7"/>
      <c r="F46" s="7"/>
      <c r="G46" s="7"/>
      <c r="H46" s="7">
        <v>1</v>
      </c>
      <c r="I46" s="7"/>
      <c r="J46" s="7"/>
      <c r="K46" s="7"/>
      <c r="L46" s="7"/>
      <c r="M46" s="7"/>
      <c r="N46" s="7"/>
      <c r="O46" s="7"/>
      <c r="P46" s="7"/>
      <c r="Q46" s="7"/>
      <c r="R46" s="8">
        <v>2</v>
      </c>
    </row>
    <row r="47" spans="1:18" x14ac:dyDescent="0.25">
      <c r="A47" s="4"/>
      <c r="B47" s="6" t="s">
        <v>441</v>
      </c>
      <c r="C47" s="6">
        <v>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>
        <v>1</v>
      </c>
    </row>
    <row r="48" spans="1:18" x14ac:dyDescent="0.25">
      <c r="A48" s="4"/>
      <c r="B48" s="6" t="s">
        <v>442</v>
      </c>
      <c r="C48" s="6">
        <v>3</v>
      </c>
      <c r="D48" s="7">
        <v>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>
        <v>9</v>
      </c>
    </row>
    <row r="49" spans="1:18" x14ac:dyDescent="0.25">
      <c r="A49" s="4"/>
      <c r="B49" s="6" t="s">
        <v>443</v>
      </c>
      <c r="C49" s="6"/>
      <c r="D49" s="7">
        <v>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>
        <v>3</v>
      </c>
    </row>
    <row r="50" spans="1:18" x14ac:dyDescent="0.25">
      <c r="A50" s="4"/>
      <c r="B50" s="6" t="s">
        <v>444</v>
      </c>
      <c r="C50" s="6">
        <v>2.5</v>
      </c>
      <c r="D50" s="7"/>
      <c r="E50" s="7"/>
      <c r="F50" s="7"/>
      <c r="G50" s="7"/>
      <c r="H50" s="7">
        <v>1</v>
      </c>
      <c r="I50" s="7"/>
      <c r="J50" s="7"/>
      <c r="K50" s="7"/>
      <c r="L50" s="7"/>
      <c r="M50" s="7"/>
      <c r="N50" s="7"/>
      <c r="O50" s="7"/>
      <c r="P50" s="7"/>
      <c r="Q50" s="7"/>
      <c r="R50" s="8">
        <v>3.5</v>
      </c>
    </row>
    <row r="51" spans="1:18" x14ac:dyDescent="0.25">
      <c r="A51" s="4"/>
      <c r="B51" s="6" t="s">
        <v>445</v>
      </c>
      <c r="C51" s="6"/>
      <c r="D51" s="7">
        <v>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>
        <v>2</v>
      </c>
    </row>
    <row r="52" spans="1:18" x14ac:dyDescent="0.25">
      <c r="A52" s="4"/>
      <c r="B52" s="6" t="s">
        <v>446</v>
      </c>
      <c r="C52" s="6"/>
      <c r="D52" s="7"/>
      <c r="E52" s="7">
        <v>0.25</v>
      </c>
      <c r="F52" s="7"/>
      <c r="G52" s="7"/>
      <c r="H52" s="7"/>
      <c r="I52" s="7"/>
      <c r="J52" s="7"/>
      <c r="K52" s="7"/>
      <c r="L52" s="7"/>
      <c r="M52" s="7"/>
      <c r="N52" s="7">
        <v>0.75</v>
      </c>
      <c r="O52" s="7"/>
      <c r="P52" s="7"/>
      <c r="Q52" s="7"/>
      <c r="R52" s="8">
        <v>1</v>
      </c>
    </row>
    <row r="53" spans="1:18" x14ac:dyDescent="0.25">
      <c r="A53" s="4"/>
      <c r="B53" s="6" t="s">
        <v>447</v>
      </c>
      <c r="C53" s="6">
        <v>3</v>
      </c>
      <c r="D53" s="7"/>
      <c r="E53" s="7"/>
      <c r="F53" s="7"/>
      <c r="G53" s="7">
        <v>1</v>
      </c>
      <c r="H53" s="7">
        <v>1</v>
      </c>
      <c r="I53" s="7"/>
      <c r="J53" s="7"/>
      <c r="K53" s="7"/>
      <c r="L53" s="7"/>
      <c r="M53" s="7"/>
      <c r="N53" s="7"/>
      <c r="O53" s="7"/>
      <c r="P53" s="7"/>
      <c r="Q53" s="7"/>
      <c r="R53" s="8">
        <v>5</v>
      </c>
    </row>
    <row r="54" spans="1:18" x14ac:dyDescent="0.25">
      <c r="A54" s="4"/>
      <c r="B54" s="6" t="s">
        <v>448</v>
      </c>
      <c r="C54" s="6"/>
      <c r="D54" s="7"/>
      <c r="E54" s="7">
        <v>0.25</v>
      </c>
      <c r="F54" s="7"/>
      <c r="G54" s="7"/>
      <c r="H54" s="7"/>
      <c r="I54" s="7"/>
      <c r="J54" s="7"/>
      <c r="K54" s="7"/>
      <c r="L54" s="7"/>
      <c r="M54" s="7"/>
      <c r="N54" s="7">
        <v>0.75</v>
      </c>
      <c r="O54" s="7"/>
      <c r="P54" s="7"/>
      <c r="Q54" s="7"/>
      <c r="R54" s="8">
        <v>1</v>
      </c>
    </row>
    <row r="55" spans="1:18" x14ac:dyDescent="0.25">
      <c r="A55" s="4"/>
      <c r="B55" s="6" t="s">
        <v>449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 x14ac:dyDescent="0.25">
      <c r="A56" s="4"/>
      <c r="B56" s="6" t="s">
        <v>450</v>
      </c>
      <c r="C56" s="6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>
        <v>1</v>
      </c>
    </row>
    <row r="57" spans="1:18" x14ac:dyDescent="0.25">
      <c r="A57" s="4"/>
      <c r="B57" s="6" t="s">
        <v>451</v>
      </c>
      <c r="C57" s="6"/>
      <c r="D57" s="7"/>
      <c r="E57" s="7">
        <v>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>
        <v>5</v>
      </c>
    </row>
    <row r="58" spans="1:18" x14ac:dyDescent="0.25">
      <c r="A58" s="4"/>
      <c r="B58" s="6" t="s">
        <v>452</v>
      </c>
      <c r="C58" s="6"/>
      <c r="D58" s="7"/>
      <c r="E58" s="7">
        <v>0.75</v>
      </c>
      <c r="F58" s="7"/>
      <c r="G58" s="7"/>
      <c r="H58" s="7"/>
      <c r="I58" s="7"/>
      <c r="J58" s="7"/>
      <c r="K58" s="7"/>
      <c r="L58" s="7"/>
      <c r="M58" s="7"/>
      <c r="N58" s="7">
        <v>0.25</v>
      </c>
      <c r="O58" s="7"/>
      <c r="P58" s="7"/>
      <c r="Q58" s="7"/>
      <c r="R58" s="8">
        <v>1</v>
      </c>
    </row>
    <row r="59" spans="1:18" x14ac:dyDescent="0.25">
      <c r="A59" s="4"/>
      <c r="B59" s="6" t="s">
        <v>453</v>
      </c>
      <c r="C59" s="6"/>
      <c r="D59" s="7"/>
      <c r="E59" s="7"/>
      <c r="F59" s="7"/>
      <c r="G59" s="7"/>
      <c r="H59" s="7">
        <v>1</v>
      </c>
      <c r="I59" s="7">
        <v>0.5</v>
      </c>
      <c r="J59" s="7"/>
      <c r="K59" s="7"/>
      <c r="L59" s="7"/>
      <c r="M59" s="7"/>
      <c r="N59" s="7"/>
      <c r="O59" s="7"/>
      <c r="P59" s="7"/>
      <c r="Q59" s="7"/>
      <c r="R59" s="8">
        <v>1.5</v>
      </c>
    </row>
    <row r="60" spans="1:18" x14ac:dyDescent="0.25">
      <c r="A60" s="4"/>
      <c r="B60" s="6" t="s">
        <v>454</v>
      </c>
      <c r="C60" s="6">
        <v>1</v>
      </c>
      <c r="D60" s="7">
        <v>1</v>
      </c>
      <c r="E60" s="7"/>
      <c r="F60" s="7"/>
      <c r="G60" s="7"/>
      <c r="H60" s="7">
        <v>5.9</v>
      </c>
      <c r="I60" s="7"/>
      <c r="J60" s="7"/>
      <c r="K60" s="7"/>
      <c r="L60" s="7"/>
      <c r="M60" s="7"/>
      <c r="N60" s="7"/>
      <c r="O60" s="7"/>
      <c r="P60" s="7"/>
      <c r="Q60" s="7"/>
      <c r="R60" s="8">
        <v>7.9</v>
      </c>
    </row>
    <row r="61" spans="1:18" x14ac:dyDescent="0.25">
      <c r="A61" s="4"/>
      <c r="B61" s="6" t="s">
        <v>455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 x14ac:dyDescent="0.25">
      <c r="A62" s="4"/>
      <c r="B62" s="6" t="s">
        <v>456</v>
      </c>
      <c r="C62" s="6">
        <v>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3</v>
      </c>
    </row>
    <row r="63" spans="1:18" x14ac:dyDescent="0.25">
      <c r="A63" s="4"/>
      <c r="B63" s="6" t="s">
        <v>457</v>
      </c>
      <c r="C63" s="6"/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/>
      <c r="O63" s="7"/>
      <c r="P63" s="7"/>
      <c r="Q63" s="7"/>
      <c r="R63" s="8">
        <v>1</v>
      </c>
    </row>
    <row r="64" spans="1:18" x14ac:dyDescent="0.25">
      <c r="A64" s="4"/>
      <c r="B64" s="6" t="s">
        <v>458</v>
      </c>
      <c r="C64" s="6"/>
      <c r="D64" s="7"/>
      <c r="E64" s="7"/>
      <c r="F64" s="7"/>
      <c r="G64" s="7"/>
      <c r="H64" s="7"/>
      <c r="I64" s="7"/>
      <c r="J64" s="7"/>
      <c r="K64" s="7">
        <v>1</v>
      </c>
      <c r="L64" s="7"/>
      <c r="M64" s="7"/>
      <c r="N64" s="7"/>
      <c r="O64" s="7"/>
      <c r="P64" s="7"/>
      <c r="Q64" s="7"/>
      <c r="R64" s="8">
        <v>1</v>
      </c>
    </row>
    <row r="65" spans="1:18" x14ac:dyDescent="0.25">
      <c r="A65" s="4"/>
      <c r="B65" s="6" t="s">
        <v>459</v>
      </c>
      <c r="C65" s="6"/>
      <c r="D65" s="7"/>
      <c r="E65" s="7"/>
      <c r="F65" s="7"/>
      <c r="G65" s="7"/>
      <c r="H65" s="7">
        <v>2</v>
      </c>
      <c r="I65" s="7"/>
      <c r="J65" s="7"/>
      <c r="K65" s="7"/>
      <c r="L65" s="7"/>
      <c r="M65" s="7"/>
      <c r="N65" s="7"/>
      <c r="O65" s="7"/>
      <c r="P65" s="7"/>
      <c r="Q65" s="7"/>
      <c r="R65" s="8">
        <v>2</v>
      </c>
    </row>
    <row r="66" spans="1:18" x14ac:dyDescent="0.25">
      <c r="A66" s="4"/>
      <c r="B66" s="6" t="s">
        <v>460</v>
      </c>
      <c r="C66" s="6"/>
      <c r="D66" s="7">
        <v>3</v>
      </c>
      <c r="E66" s="7"/>
      <c r="F66" s="7">
        <v>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6</v>
      </c>
      <c r="R66" s="8">
        <v>14</v>
      </c>
    </row>
    <row r="67" spans="1:18" x14ac:dyDescent="0.25">
      <c r="A67" s="4"/>
      <c r="B67" s="6" t="s">
        <v>461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8">
        <v>1</v>
      </c>
    </row>
    <row r="68" spans="1:18" x14ac:dyDescent="0.25">
      <c r="A68" s="4"/>
      <c r="B68" s="6" t="s">
        <v>462</v>
      </c>
      <c r="C68" s="6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1</v>
      </c>
      <c r="R68" s="8">
        <v>2</v>
      </c>
    </row>
    <row r="69" spans="1:18" x14ac:dyDescent="0.25">
      <c r="A69" s="4"/>
      <c r="B69" s="6" t="s">
        <v>463</v>
      </c>
      <c r="C69" s="6"/>
      <c r="D69" s="7"/>
      <c r="E69" s="7"/>
      <c r="F69" s="7">
        <v>1</v>
      </c>
      <c r="G69" s="7"/>
      <c r="H69" s="7"/>
      <c r="I69" s="7"/>
      <c r="J69" s="7"/>
      <c r="K69" s="7">
        <v>1</v>
      </c>
      <c r="L69" s="7"/>
      <c r="M69" s="7"/>
      <c r="N69" s="7">
        <v>4</v>
      </c>
      <c r="O69" s="7"/>
      <c r="P69" s="7"/>
      <c r="Q69" s="7"/>
      <c r="R69" s="8">
        <v>6</v>
      </c>
    </row>
    <row r="70" spans="1:18" x14ac:dyDescent="0.25">
      <c r="A70" s="4"/>
      <c r="B70" s="6" t="s">
        <v>464</v>
      </c>
      <c r="C70" s="6">
        <v>1</v>
      </c>
      <c r="D70" s="7"/>
      <c r="E70" s="7"/>
      <c r="F70" s="7">
        <v>3</v>
      </c>
      <c r="G70" s="7"/>
      <c r="H70" s="7">
        <v>1</v>
      </c>
      <c r="I70" s="7"/>
      <c r="J70" s="7"/>
      <c r="K70" s="7">
        <v>4</v>
      </c>
      <c r="L70" s="7"/>
      <c r="M70" s="7"/>
      <c r="N70" s="7"/>
      <c r="O70" s="7"/>
      <c r="P70" s="7"/>
      <c r="Q70" s="7"/>
      <c r="R70" s="8">
        <v>9</v>
      </c>
    </row>
    <row r="71" spans="1:18" x14ac:dyDescent="0.25">
      <c r="A71" s="4"/>
      <c r="B71" s="6" t="s">
        <v>465</v>
      </c>
      <c r="C71" s="6">
        <v>8</v>
      </c>
      <c r="D71" s="7"/>
      <c r="E71" s="7"/>
      <c r="F71" s="7"/>
      <c r="G71" s="7"/>
      <c r="H71" s="7">
        <v>6</v>
      </c>
      <c r="I71" s="7"/>
      <c r="J71" s="7"/>
      <c r="K71" s="7"/>
      <c r="L71" s="7"/>
      <c r="M71" s="7"/>
      <c r="N71" s="7"/>
      <c r="O71" s="7"/>
      <c r="P71" s="7"/>
      <c r="Q71" s="7"/>
      <c r="R71" s="8">
        <v>14</v>
      </c>
    </row>
    <row r="72" spans="1:18" x14ac:dyDescent="0.25">
      <c r="A72" s="4"/>
      <c r="B72" s="6" t="s">
        <v>466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>
        <v>2</v>
      </c>
      <c r="N72" s="7"/>
      <c r="O72" s="7"/>
      <c r="P72" s="7"/>
      <c r="Q72" s="7"/>
      <c r="R72" s="8">
        <v>2</v>
      </c>
    </row>
    <row r="73" spans="1:18" x14ac:dyDescent="0.25">
      <c r="A73" s="4"/>
      <c r="B73" s="6" t="s">
        <v>467</v>
      </c>
      <c r="C73" s="6"/>
      <c r="D73" s="7"/>
      <c r="E73" s="7">
        <v>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5</v>
      </c>
    </row>
    <row r="74" spans="1:18" x14ac:dyDescent="0.25">
      <c r="A74" s="4"/>
      <c r="B74" s="6" t="s">
        <v>468</v>
      </c>
      <c r="C74" s="6"/>
      <c r="D74" s="7"/>
      <c r="E74" s="7"/>
      <c r="F74" s="7"/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2</v>
      </c>
    </row>
    <row r="75" spans="1:18" x14ac:dyDescent="0.25">
      <c r="A75" s="4"/>
      <c r="B75" s="6" t="s">
        <v>469</v>
      </c>
      <c r="C75" s="6"/>
      <c r="D75" s="7"/>
      <c r="E75" s="7"/>
      <c r="F75" s="7"/>
      <c r="G75" s="7">
        <v>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5</v>
      </c>
    </row>
    <row r="76" spans="1:18" x14ac:dyDescent="0.25">
      <c r="A76" s="4"/>
      <c r="B76" s="6" t="s">
        <v>470</v>
      </c>
      <c r="C76" s="6">
        <v>8</v>
      </c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8">
        <v>10</v>
      </c>
    </row>
    <row r="77" spans="1:18" x14ac:dyDescent="0.25">
      <c r="A77" s="4"/>
      <c r="B77" s="6" t="s">
        <v>471</v>
      </c>
      <c r="C77" s="6">
        <v>3</v>
      </c>
      <c r="D77" s="7"/>
      <c r="E77" s="7"/>
      <c r="F77" s="7"/>
      <c r="G77" s="7">
        <v>24</v>
      </c>
      <c r="H77" s="7">
        <v>4</v>
      </c>
      <c r="I77" s="7"/>
      <c r="J77" s="7"/>
      <c r="K77" s="7"/>
      <c r="L77" s="7"/>
      <c r="M77" s="7"/>
      <c r="N77" s="7"/>
      <c r="O77" s="7"/>
      <c r="P77" s="7"/>
      <c r="Q77" s="7"/>
      <c r="R77" s="8">
        <v>31</v>
      </c>
    </row>
    <row r="78" spans="1:18" x14ac:dyDescent="0.25">
      <c r="A78" s="4"/>
      <c r="B78" s="6" t="s">
        <v>472</v>
      </c>
      <c r="C78" s="6"/>
      <c r="D78" s="7"/>
      <c r="E78" s="7"/>
      <c r="F78" s="7"/>
      <c r="G78" s="7"/>
      <c r="H78" s="7"/>
      <c r="I78" s="7"/>
      <c r="J78" s="7"/>
      <c r="K78" s="7">
        <v>2</v>
      </c>
      <c r="L78" s="7"/>
      <c r="M78" s="7"/>
      <c r="N78" s="7"/>
      <c r="O78" s="7"/>
      <c r="P78" s="7"/>
      <c r="Q78" s="7"/>
      <c r="R78" s="8">
        <v>2</v>
      </c>
    </row>
    <row r="79" spans="1:18" x14ac:dyDescent="0.25">
      <c r="A79" s="4"/>
      <c r="B79" s="6" t="s">
        <v>473</v>
      </c>
      <c r="C79" s="6"/>
      <c r="D79" s="7"/>
      <c r="E79" s="7"/>
      <c r="F79" s="7"/>
      <c r="G79" s="7">
        <v>39.5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39.5</v>
      </c>
    </row>
    <row r="80" spans="1:18" x14ac:dyDescent="0.25">
      <c r="A80" s="4"/>
      <c r="B80" s="6" t="s">
        <v>474</v>
      </c>
      <c r="C80" s="6"/>
      <c r="D80" s="7"/>
      <c r="E80" s="7"/>
      <c r="F80" s="7"/>
      <c r="G80" s="7">
        <v>252.5</v>
      </c>
      <c r="H80" s="7">
        <v>2</v>
      </c>
      <c r="I80" s="7"/>
      <c r="J80" s="7"/>
      <c r="K80" s="7"/>
      <c r="L80" s="7"/>
      <c r="M80" s="7"/>
      <c r="N80" s="7"/>
      <c r="O80" s="7">
        <v>6</v>
      </c>
      <c r="P80" s="7"/>
      <c r="Q80" s="7"/>
      <c r="R80" s="8">
        <v>260.5</v>
      </c>
    </row>
    <row r="81" spans="1:18" x14ac:dyDescent="0.25">
      <c r="A81" s="4"/>
      <c r="B81" s="6" t="s">
        <v>475</v>
      </c>
      <c r="C81" s="6"/>
      <c r="D81" s="7"/>
      <c r="E81" s="7"/>
      <c r="F81" s="7"/>
      <c r="G81" s="7">
        <v>244</v>
      </c>
      <c r="H81" s="7">
        <v>3</v>
      </c>
      <c r="I81" s="7"/>
      <c r="J81" s="7"/>
      <c r="K81" s="7"/>
      <c r="L81" s="7"/>
      <c r="M81" s="7"/>
      <c r="N81" s="7">
        <v>8</v>
      </c>
      <c r="O81" s="7">
        <v>3</v>
      </c>
      <c r="P81" s="7"/>
      <c r="Q81" s="7"/>
      <c r="R81" s="8">
        <v>258</v>
      </c>
    </row>
    <row r="82" spans="1:18" x14ac:dyDescent="0.25">
      <c r="A82" s="4"/>
      <c r="B82" s="6" t="s">
        <v>476</v>
      </c>
      <c r="C82" s="6">
        <v>4</v>
      </c>
      <c r="D82" s="7"/>
      <c r="E82" s="7"/>
      <c r="F82" s="7">
        <v>1</v>
      </c>
      <c r="G82" s="7"/>
      <c r="H82" s="7">
        <v>1</v>
      </c>
      <c r="I82" s="7"/>
      <c r="J82" s="7"/>
      <c r="K82" s="7">
        <v>1</v>
      </c>
      <c r="L82" s="7"/>
      <c r="M82" s="7"/>
      <c r="N82" s="7"/>
      <c r="O82" s="7"/>
      <c r="P82" s="7"/>
      <c r="Q82" s="7"/>
      <c r="R82" s="8">
        <v>7</v>
      </c>
    </row>
    <row r="83" spans="1:18" x14ac:dyDescent="0.25">
      <c r="A83" s="4"/>
      <c r="B83" s="6" t="s">
        <v>477</v>
      </c>
      <c r="C83" s="6">
        <v>3</v>
      </c>
      <c r="D83" s="7">
        <v>2</v>
      </c>
      <c r="E83" s="7"/>
      <c r="F83" s="7"/>
      <c r="G83" s="7"/>
      <c r="H83" s="7">
        <v>3</v>
      </c>
      <c r="I83" s="7"/>
      <c r="J83" s="7">
        <v>5</v>
      </c>
      <c r="K83" s="7">
        <v>1</v>
      </c>
      <c r="L83" s="7"/>
      <c r="M83" s="7"/>
      <c r="N83" s="7"/>
      <c r="O83" s="7"/>
      <c r="P83" s="7"/>
      <c r="Q83" s="7">
        <v>2</v>
      </c>
      <c r="R83" s="8">
        <v>16</v>
      </c>
    </row>
    <row r="84" spans="1:18" x14ac:dyDescent="0.25">
      <c r="A84" s="4"/>
      <c r="B84" s="6" t="s">
        <v>478</v>
      </c>
      <c r="C84" s="6">
        <v>8</v>
      </c>
      <c r="D84" s="7">
        <v>2</v>
      </c>
      <c r="E84" s="7"/>
      <c r="F84" s="7"/>
      <c r="G84" s="7"/>
      <c r="H84" s="7">
        <v>11</v>
      </c>
      <c r="I84" s="7"/>
      <c r="J84" s="7">
        <v>1</v>
      </c>
      <c r="K84" s="7"/>
      <c r="L84" s="7"/>
      <c r="M84" s="7"/>
      <c r="N84" s="7"/>
      <c r="O84" s="7"/>
      <c r="P84" s="7"/>
      <c r="Q84" s="7"/>
      <c r="R84" s="8">
        <v>22</v>
      </c>
    </row>
    <row r="85" spans="1:18" x14ac:dyDescent="0.25">
      <c r="A85" s="4"/>
      <c r="B85" s="6" t="s">
        <v>479</v>
      </c>
      <c r="C85" s="6">
        <v>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1</v>
      </c>
    </row>
    <row r="86" spans="1:18" x14ac:dyDescent="0.25">
      <c r="A86" s="4"/>
      <c r="B86" s="6" t="s">
        <v>480</v>
      </c>
      <c r="C86" s="6">
        <v>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>
        <v>2</v>
      </c>
    </row>
    <row r="87" spans="1:18" x14ac:dyDescent="0.25">
      <c r="A87" s="4"/>
      <c r="B87" s="6" t="s">
        <v>481</v>
      </c>
      <c r="C87" s="6">
        <v>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>
        <v>1</v>
      </c>
    </row>
    <row r="88" spans="1:18" x14ac:dyDescent="0.25">
      <c r="A88" s="4"/>
      <c r="B88" s="6" t="s">
        <v>482</v>
      </c>
      <c r="C88" s="6">
        <v>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>
        <v>1</v>
      </c>
    </row>
    <row r="89" spans="1:18" x14ac:dyDescent="0.25">
      <c r="A89" s="4"/>
      <c r="B89" s="6" t="s">
        <v>483</v>
      </c>
      <c r="C89" s="6">
        <v>2</v>
      </c>
      <c r="D89" s="7"/>
      <c r="E89" s="7"/>
      <c r="F89" s="7"/>
      <c r="G89" s="7"/>
      <c r="H89" s="7">
        <v>1</v>
      </c>
      <c r="I89" s="7"/>
      <c r="J89" s="7"/>
      <c r="K89" s="7"/>
      <c r="L89" s="7"/>
      <c r="M89" s="7"/>
      <c r="N89" s="7"/>
      <c r="O89" s="7">
        <v>1</v>
      </c>
      <c r="P89" s="7"/>
      <c r="Q89" s="7"/>
      <c r="R89" s="8">
        <v>4</v>
      </c>
    </row>
    <row r="90" spans="1:18" x14ac:dyDescent="0.25">
      <c r="A90" s="4"/>
      <c r="B90" s="6" t="s">
        <v>484</v>
      </c>
      <c r="C90" s="6">
        <v>8</v>
      </c>
      <c r="D90" s="7"/>
      <c r="E90" s="7"/>
      <c r="F90" s="7"/>
      <c r="G90" s="7"/>
      <c r="H90" s="7">
        <v>2</v>
      </c>
      <c r="I90" s="7"/>
      <c r="J90" s="7"/>
      <c r="K90" s="7"/>
      <c r="L90" s="7"/>
      <c r="M90" s="7"/>
      <c r="N90" s="7"/>
      <c r="O90" s="7"/>
      <c r="P90" s="7"/>
      <c r="Q90" s="7"/>
      <c r="R90" s="8">
        <v>10</v>
      </c>
    </row>
    <row r="91" spans="1:18" x14ac:dyDescent="0.25">
      <c r="A91" s="4"/>
      <c r="B91" s="6" t="s">
        <v>485</v>
      </c>
      <c r="C91" s="6"/>
      <c r="D91" s="7"/>
      <c r="E91" s="7">
        <v>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1</v>
      </c>
    </row>
    <row r="92" spans="1:18" x14ac:dyDescent="0.25">
      <c r="A92" s="4"/>
      <c r="B92" s="6" t="s">
        <v>486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>
        <v>1</v>
      </c>
      <c r="M92" s="7"/>
      <c r="N92" s="7"/>
      <c r="O92" s="7"/>
      <c r="P92" s="7"/>
      <c r="Q92" s="7"/>
      <c r="R92" s="8">
        <v>7</v>
      </c>
    </row>
    <row r="93" spans="1:18" x14ac:dyDescent="0.25">
      <c r="A93" s="4"/>
      <c r="B93" s="6" t="s">
        <v>487</v>
      </c>
      <c r="C93" s="6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>
        <v>1</v>
      </c>
    </row>
    <row r="94" spans="1:18" x14ac:dyDescent="0.25">
      <c r="A94" s="4"/>
      <c r="B94" s="6" t="s">
        <v>488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v>1</v>
      </c>
      <c r="O94" s="7"/>
      <c r="P94" s="7"/>
      <c r="Q94" s="7"/>
      <c r="R94" s="8">
        <v>1</v>
      </c>
    </row>
    <row r="95" spans="1:18" x14ac:dyDescent="0.25">
      <c r="A95" s="4"/>
      <c r="B95" s="6" t="s">
        <v>489</v>
      </c>
      <c r="C95" s="6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>
        <v>1</v>
      </c>
    </row>
    <row r="96" spans="1:18" x14ac:dyDescent="0.25">
      <c r="A96" s="4"/>
      <c r="B96" s="5" t="s">
        <v>490</v>
      </c>
      <c r="C96" s="6">
        <v>9</v>
      </c>
      <c r="D96" s="7"/>
      <c r="E96" s="7">
        <v>3</v>
      </c>
      <c r="F96" s="7"/>
      <c r="G96" s="7">
        <v>1</v>
      </c>
      <c r="H96" s="7"/>
      <c r="I96" s="7">
        <v>1</v>
      </c>
      <c r="J96" s="7"/>
      <c r="K96" s="7">
        <v>5.5</v>
      </c>
      <c r="L96" s="7"/>
      <c r="M96" s="7"/>
      <c r="N96" s="7"/>
      <c r="O96" s="7"/>
      <c r="P96" s="7"/>
      <c r="Q96" s="7">
        <v>2</v>
      </c>
      <c r="R96" s="8">
        <v>21.5</v>
      </c>
    </row>
    <row r="97" spans="1:18" x14ac:dyDescent="0.25">
      <c r="A97" s="4"/>
      <c r="B97" s="6" t="s">
        <v>491</v>
      </c>
      <c r="C97" s="6"/>
      <c r="D97" s="7">
        <v>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2</v>
      </c>
    </row>
    <row r="98" spans="1:18" x14ac:dyDescent="0.25">
      <c r="A98" s="4"/>
      <c r="B98" s="6" t="s">
        <v>492</v>
      </c>
      <c r="C98" s="6">
        <v>21</v>
      </c>
      <c r="D98" s="7"/>
      <c r="E98" s="7">
        <v>1</v>
      </c>
      <c r="F98" s="7"/>
      <c r="G98" s="7"/>
      <c r="H98" s="7">
        <v>3</v>
      </c>
      <c r="I98" s="7">
        <v>1</v>
      </c>
      <c r="J98" s="7"/>
      <c r="K98" s="7">
        <v>5</v>
      </c>
      <c r="L98" s="7"/>
      <c r="M98" s="7"/>
      <c r="N98" s="7">
        <v>1</v>
      </c>
      <c r="O98" s="7"/>
      <c r="P98" s="7"/>
      <c r="Q98" s="7">
        <v>3</v>
      </c>
      <c r="R98" s="8">
        <v>35</v>
      </c>
    </row>
    <row r="99" spans="1:18" x14ac:dyDescent="0.25">
      <c r="A99" s="4"/>
      <c r="B99" s="5" t="s">
        <v>493</v>
      </c>
      <c r="C99" s="6">
        <v>4</v>
      </c>
      <c r="D99" s="7"/>
      <c r="E99" s="7"/>
      <c r="F99" s="7"/>
      <c r="G99" s="7"/>
      <c r="H99" s="7">
        <v>1.1000000000000001</v>
      </c>
      <c r="I99" s="7"/>
      <c r="J99" s="7">
        <v>1</v>
      </c>
      <c r="K99" s="7"/>
      <c r="L99" s="7">
        <v>1</v>
      </c>
      <c r="M99" s="7"/>
      <c r="N99" s="7"/>
      <c r="O99" s="7"/>
      <c r="P99" s="7"/>
      <c r="Q99" s="7">
        <v>1</v>
      </c>
      <c r="R99" s="8">
        <v>8.1</v>
      </c>
    </row>
    <row r="100" spans="1:18" x14ac:dyDescent="0.25">
      <c r="A100" s="4"/>
      <c r="B100" s="6" t="s">
        <v>494</v>
      </c>
      <c r="C100" s="6">
        <v>9</v>
      </c>
      <c r="D100" s="7"/>
      <c r="E100" s="7"/>
      <c r="F100" s="7">
        <v>3</v>
      </c>
      <c r="G100" s="7"/>
      <c r="H100" s="7">
        <v>18.100000000000001</v>
      </c>
      <c r="I100" s="7">
        <v>1</v>
      </c>
      <c r="J100" s="7">
        <v>3</v>
      </c>
      <c r="K100" s="7"/>
      <c r="L100" s="7">
        <v>2</v>
      </c>
      <c r="M100" s="7"/>
      <c r="N100" s="7"/>
      <c r="O100" s="7"/>
      <c r="P100" s="7"/>
      <c r="Q100" s="7">
        <v>1</v>
      </c>
      <c r="R100" s="8">
        <v>37.1</v>
      </c>
    </row>
    <row r="101" spans="1:18" x14ac:dyDescent="0.25">
      <c r="A101" s="4"/>
      <c r="B101" s="6" t="s">
        <v>495</v>
      </c>
      <c r="C101" s="6"/>
      <c r="D101" s="7">
        <v>4</v>
      </c>
      <c r="E101" s="7"/>
      <c r="F101" s="7"/>
      <c r="G101" s="7">
        <v>2</v>
      </c>
      <c r="H101" s="7">
        <v>3</v>
      </c>
      <c r="I101" s="7"/>
      <c r="J101" s="7"/>
      <c r="K101" s="7"/>
      <c r="L101" s="7"/>
      <c r="M101" s="7"/>
      <c r="N101" s="7"/>
      <c r="O101" s="7"/>
      <c r="P101" s="7"/>
      <c r="Q101" s="7"/>
      <c r="R101" s="8">
        <v>9</v>
      </c>
    </row>
    <row r="102" spans="1:18" x14ac:dyDescent="0.25">
      <c r="A102" s="4"/>
      <c r="B102" s="6" t="s">
        <v>496</v>
      </c>
      <c r="C102" s="6"/>
      <c r="D102" s="7"/>
      <c r="E102" s="7">
        <v>0.25</v>
      </c>
      <c r="F102" s="7"/>
      <c r="G102" s="7"/>
      <c r="H102" s="7"/>
      <c r="I102" s="7"/>
      <c r="J102" s="7"/>
      <c r="K102" s="7"/>
      <c r="L102" s="7"/>
      <c r="M102" s="7"/>
      <c r="N102" s="7">
        <v>0.75</v>
      </c>
      <c r="O102" s="7"/>
      <c r="P102" s="7"/>
      <c r="Q102" s="7"/>
      <c r="R102" s="8">
        <v>1</v>
      </c>
    </row>
    <row r="103" spans="1:18" x14ac:dyDescent="0.25">
      <c r="A103" s="4"/>
      <c r="B103" s="6" t="s">
        <v>497</v>
      </c>
      <c r="C103" s="6">
        <v>1</v>
      </c>
      <c r="D103" s="7"/>
      <c r="E103" s="7"/>
      <c r="F103" s="7"/>
      <c r="G103" s="7"/>
      <c r="H103" s="7">
        <v>2</v>
      </c>
      <c r="I103" s="7"/>
      <c r="J103" s="7"/>
      <c r="K103" s="7"/>
      <c r="L103" s="7"/>
      <c r="M103" s="7"/>
      <c r="N103" s="7"/>
      <c r="O103" s="7"/>
      <c r="P103" s="7"/>
      <c r="Q103" s="7"/>
      <c r="R103" s="8">
        <v>3</v>
      </c>
    </row>
    <row r="104" spans="1:18" x14ac:dyDescent="0.25">
      <c r="A104" s="4"/>
      <c r="B104" s="6" t="s">
        <v>498</v>
      </c>
      <c r="C104" s="6"/>
      <c r="D104" s="7"/>
      <c r="E104" s="7">
        <v>0.25</v>
      </c>
      <c r="F104" s="7"/>
      <c r="G104" s="7"/>
      <c r="H104" s="7"/>
      <c r="I104" s="7"/>
      <c r="J104" s="7"/>
      <c r="K104" s="7"/>
      <c r="L104" s="7"/>
      <c r="M104" s="7"/>
      <c r="N104" s="7">
        <v>0.75</v>
      </c>
      <c r="O104" s="7"/>
      <c r="P104" s="7"/>
      <c r="Q104" s="7"/>
      <c r="R104" s="8">
        <v>1</v>
      </c>
    </row>
    <row r="105" spans="1:18" x14ac:dyDescent="0.25">
      <c r="A105" s="4"/>
      <c r="B105" s="6" t="s">
        <v>499</v>
      </c>
      <c r="C105" s="6"/>
      <c r="D105" s="7"/>
      <c r="E105" s="7"/>
      <c r="F105" s="7"/>
      <c r="G105" s="7">
        <v>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>
        <v>1</v>
      </c>
    </row>
    <row r="106" spans="1:18" x14ac:dyDescent="0.25">
      <c r="A106" s="4"/>
      <c r="B106" s="6" t="s">
        <v>500</v>
      </c>
      <c r="C106" s="6">
        <v>2</v>
      </c>
      <c r="D106" s="7"/>
      <c r="E106" s="7"/>
      <c r="F106" s="7"/>
      <c r="G106" s="7"/>
      <c r="H106" s="7"/>
      <c r="I106" s="7"/>
      <c r="J106" s="7"/>
      <c r="K106" s="7">
        <v>1</v>
      </c>
      <c r="L106" s="7"/>
      <c r="M106" s="7">
        <v>1</v>
      </c>
      <c r="N106" s="7"/>
      <c r="O106" s="7"/>
      <c r="P106" s="7"/>
      <c r="Q106" s="7"/>
      <c r="R106" s="8">
        <v>4</v>
      </c>
    </row>
    <row r="107" spans="1:18" x14ac:dyDescent="0.25">
      <c r="A107" s="4"/>
      <c r="B107" s="6" t="s">
        <v>501</v>
      </c>
      <c r="C107" s="6"/>
      <c r="D107" s="7">
        <v>1</v>
      </c>
      <c r="E107" s="7"/>
      <c r="F107" s="7"/>
      <c r="G107" s="7"/>
      <c r="H107" s="7"/>
      <c r="I107" s="7">
        <v>2</v>
      </c>
      <c r="J107" s="7"/>
      <c r="K107" s="7"/>
      <c r="L107" s="7"/>
      <c r="M107" s="7"/>
      <c r="N107" s="7"/>
      <c r="O107" s="7">
        <v>1</v>
      </c>
      <c r="P107" s="7"/>
      <c r="Q107" s="7"/>
      <c r="R107" s="8">
        <v>4</v>
      </c>
    </row>
    <row r="108" spans="1:18" x14ac:dyDescent="0.25">
      <c r="A108" s="4"/>
      <c r="B108" s="6" t="s">
        <v>502</v>
      </c>
      <c r="C108" s="6"/>
      <c r="D108" s="7"/>
      <c r="E108" s="7"/>
      <c r="F108" s="7"/>
      <c r="G108" s="7"/>
      <c r="H108" s="7">
        <v>40</v>
      </c>
      <c r="I108" s="7"/>
      <c r="J108" s="7">
        <v>1</v>
      </c>
      <c r="K108" s="7">
        <v>2</v>
      </c>
      <c r="L108" s="7"/>
      <c r="M108" s="7">
        <v>47</v>
      </c>
      <c r="N108" s="7"/>
      <c r="O108" s="7"/>
      <c r="P108" s="7"/>
      <c r="Q108" s="7"/>
      <c r="R108" s="8">
        <v>90</v>
      </c>
    </row>
    <row r="109" spans="1:18" x14ac:dyDescent="0.25">
      <c r="A109" s="4"/>
      <c r="B109" s="6" t="s">
        <v>503</v>
      </c>
      <c r="C109" s="6">
        <v>24</v>
      </c>
      <c r="D109" s="7"/>
      <c r="E109" s="7"/>
      <c r="F109" s="7"/>
      <c r="G109" s="7"/>
      <c r="H109" s="7">
        <v>31</v>
      </c>
      <c r="I109" s="7"/>
      <c r="J109" s="7">
        <v>1</v>
      </c>
      <c r="K109" s="7"/>
      <c r="L109" s="7"/>
      <c r="M109" s="7"/>
      <c r="N109" s="7"/>
      <c r="O109" s="7"/>
      <c r="P109" s="7"/>
      <c r="Q109" s="7"/>
      <c r="R109" s="8">
        <v>56</v>
      </c>
    </row>
    <row r="110" spans="1:18" x14ac:dyDescent="0.25">
      <c r="A110" s="4"/>
      <c r="B110" s="6" t="s">
        <v>504</v>
      </c>
      <c r="C110" s="6">
        <v>18</v>
      </c>
      <c r="D110" s="7"/>
      <c r="E110" s="7"/>
      <c r="F110" s="7"/>
      <c r="G110" s="7"/>
      <c r="H110" s="7">
        <v>4</v>
      </c>
      <c r="I110" s="7"/>
      <c r="J110" s="7"/>
      <c r="K110" s="7"/>
      <c r="L110" s="7"/>
      <c r="M110" s="7">
        <v>6</v>
      </c>
      <c r="N110" s="7"/>
      <c r="O110" s="7"/>
      <c r="P110" s="7"/>
      <c r="Q110" s="7"/>
      <c r="R110" s="8">
        <v>28</v>
      </c>
    </row>
    <row r="111" spans="1:18" x14ac:dyDescent="0.25">
      <c r="A111" s="4"/>
      <c r="B111" s="6" t="s">
        <v>505</v>
      </c>
      <c r="C111" s="6">
        <v>28</v>
      </c>
      <c r="D111" s="7"/>
      <c r="E111" s="7"/>
      <c r="F111" s="7"/>
      <c r="G111" s="7"/>
      <c r="H111" s="7">
        <v>7</v>
      </c>
      <c r="I111" s="7"/>
      <c r="J111" s="7"/>
      <c r="K111" s="7"/>
      <c r="L111" s="7"/>
      <c r="M111" s="7">
        <v>3</v>
      </c>
      <c r="N111" s="7"/>
      <c r="O111" s="7"/>
      <c r="P111" s="7"/>
      <c r="Q111" s="7"/>
      <c r="R111" s="8">
        <v>38</v>
      </c>
    </row>
    <row r="112" spans="1:18" x14ac:dyDescent="0.25">
      <c r="A112" s="4"/>
      <c r="B112" s="6" t="s">
        <v>506</v>
      </c>
      <c r="C112" s="6"/>
      <c r="D112" s="7"/>
      <c r="E112" s="7"/>
      <c r="F112" s="7"/>
      <c r="G112" s="7"/>
      <c r="H112" s="7"/>
      <c r="I112" s="7"/>
      <c r="J112" s="7"/>
      <c r="K112" s="7">
        <v>1</v>
      </c>
      <c r="L112" s="7"/>
      <c r="M112" s="7"/>
      <c r="N112" s="7"/>
      <c r="O112" s="7"/>
      <c r="P112" s="7"/>
      <c r="Q112" s="7"/>
      <c r="R112" s="8">
        <v>1</v>
      </c>
    </row>
    <row r="113" spans="1:18" x14ac:dyDescent="0.25">
      <c r="A113" s="4"/>
      <c r="B113" s="6" t="s">
        <v>507</v>
      </c>
      <c r="C113" s="6"/>
      <c r="D113" s="7"/>
      <c r="E113" s="7"/>
      <c r="F113" s="7"/>
      <c r="G113" s="7"/>
      <c r="H113" s="7">
        <v>1</v>
      </c>
      <c r="I113" s="7"/>
      <c r="J113" s="7"/>
      <c r="K113" s="7"/>
      <c r="L113" s="7"/>
      <c r="M113" s="7"/>
      <c r="N113" s="7"/>
      <c r="O113" s="7"/>
      <c r="P113" s="7"/>
      <c r="Q113" s="7"/>
      <c r="R113" s="8">
        <v>1</v>
      </c>
    </row>
    <row r="114" spans="1:18" x14ac:dyDescent="0.25">
      <c r="A114" s="4"/>
      <c r="B114" s="6" t="s">
        <v>508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>
        <v>1</v>
      </c>
    </row>
    <row r="115" spans="1:18" x14ac:dyDescent="0.25">
      <c r="A115" s="4"/>
      <c r="B115" s="6" t="s">
        <v>509</v>
      </c>
      <c r="C115" s="6"/>
      <c r="D115" s="7"/>
      <c r="E115" s="7"/>
      <c r="F115" s="7"/>
      <c r="G115" s="7"/>
      <c r="H115" s="7">
        <v>5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5</v>
      </c>
    </row>
    <row r="116" spans="1:18" x14ac:dyDescent="0.25">
      <c r="A116" s="4"/>
      <c r="B116" s="6" t="s">
        <v>510</v>
      </c>
      <c r="C116" s="6"/>
      <c r="D116" s="7"/>
      <c r="E116" s="7"/>
      <c r="F116" s="7"/>
      <c r="G116" s="7"/>
      <c r="H116" s="7">
        <v>3</v>
      </c>
      <c r="I116" s="7"/>
      <c r="J116" s="7"/>
      <c r="K116" s="7"/>
      <c r="L116" s="7"/>
      <c r="M116" s="7"/>
      <c r="N116" s="7"/>
      <c r="O116" s="7"/>
      <c r="P116" s="7"/>
      <c r="Q116" s="7"/>
      <c r="R116" s="8">
        <v>3</v>
      </c>
    </row>
    <row r="117" spans="1:18" x14ac:dyDescent="0.25">
      <c r="A117" s="4"/>
      <c r="B117" s="5" t="s">
        <v>511</v>
      </c>
      <c r="C117" s="6">
        <v>1</v>
      </c>
      <c r="D117" s="7">
        <v>1</v>
      </c>
      <c r="E117" s="7">
        <v>1</v>
      </c>
      <c r="F117" s="7"/>
      <c r="G117" s="7">
        <v>1</v>
      </c>
      <c r="H117" s="7">
        <v>4</v>
      </c>
      <c r="I117" s="7"/>
      <c r="J117" s="7"/>
      <c r="K117" s="7"/>
      <c r="L117" s="7">
        <v>1</v>
      </c>
      <c r="M117" s="7"/>
      <c r="N117" s="7"/>
      <c r="O117" s="7"/>
      <c r="P117" s="7"/>
      <c r="Q117" s="7"/>
      <c r="R117" s="8">
        <v>9</v>
      </c>
    </row>
    <row r="118" spans="1:18" x14ac:dyDescent="0.25">
      <c r="A118" s="4"/>
      <c r="B118" s="6" t="s">
        <v>512</v>
      </c>
      <c r="C118" s="6">
        <v>4</v>
      </c>
      <c r="D118" s="7"/>
      <c r="E118" s="7">
        <v>2</v>
      </c>
      <c r="F118" s="7">
        <v>1</v>
      </c>
      <c r="G118" s="7"/>
      <c r="H118" s="7">
        <v>4</v>
      </c>
      <c r="I118" s="7">
        <v>1</v>
      </c>
      <c r="J118" s="7"/>
      <c r="K118" s="7">
        <v>1</v>
      </c>
      <c r="L118" s="7"/>
      <c r="M118" s="7">
        <v>3</v>
      </c>
      <c r="N118" s="7"/>
      <c r="O118" s="7">
        <v>1</v>
      </c>
      <c r="P118" s="7"/>
      <c r="Q118" s="7">
        <v>1</v>
      </c>
      <c r="R118" s="8">
        <v>18</v>
      </c>
    </row>
    <row r="119" spans="1:18" x14ac:dyDescent="0.25">
      <c r="A119" s="4"/>
      <c r="B119" s="6" t="s">
        <v>513</v>
      </c>
      <c r="C119" s="6"/>
      <c r="D119" s="7"/>
      <c r="E119" s="7"/>
      <c r="F119" s="7"/>
      <c r="G119" s="7">
        <v>0.5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>
        <v>0.5</v>
      </c>
    </row>
    <row r="120" spans="1:18" x14ac:dyDescent="0.25">
      <c r="A120" s="4"/>
      <c r="B120" s="6" t="s">
        <v>514</v>
      </c>
      <c r="C120" s="6"/>
      <c r="D120" s="7"/>
      <c r="E120" s="7"/>
      <c r="F120" s="7"/>
      <c r="G120" s="7">
        <v>0.5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>
        <v>0.5</v>
      </c>
    </row>
    <row r="121" spans="1:18" x14ac:dyDescent="0.25">
      <c r="A121" s="4"/>
      <c r="B121" s="6" t="s">
        <v>515</v>
      </c>
      <c r="C121" s="6">
        <v>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>
        <v>1</v>
      </c>
    </row>
    <row r="122" spans="1:18" x14ac:dyDescent="0.25">
      <c r="A122" s="4"/>
      <c r="B122" s="6" t="s">
        <v>516</v>
      </c>
      <c r="C122" s="6">
        <v>1</v>
      </c>
      <c r="D122" s="7"/>
      <c r="E122" s="7"/>
      <c r="F122" s="7"/>
      <c r="G122" s="7"/>
      <c r="H122" s="7">
        <v>4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5</v>
      </c>
    </row>
    <row r="123" spans="1:18" x14ac:dyDescent="0.25">
      <c r="A123" s="4"/>
      <c r="B123" s="6" t="s">
        <v>517</v>
      </c>
      <c r="C123" s="6">
        <v>4</v>
      </c>
      <c r="D123" s="7"/>
      <c r="E123" s="7"/>
      <c r="F123" s="7"/>
      <c r="G123" s="7"/>
      <c r="H123" s="7">
        <v>3</v>
      </c>
      <c r="I123" s="7"/>
      <c r="J123" s="7"/>
      <c r="K123" s="7"/>
      <c r="L123" s="7"/>
      <c r="M123" s="7"/>
      <c r="N123" s="7"/>
      <c r="O123" s="7"/>
      <c r="P123" s="7"/>
      <c r="Q123" s="7"/>
      <c r="R123" s="8">
        <v>7</v>
      </c>
    </row>
    <row r="124" spans="1:18" x14ac:dyDescent="0.25">
      <c r="A124" s="4"/>
      <c r="B124" s="5" t="s">
        <v>518</v>
      </c>
      <c r="C124" s="6">
        <v>3</v>
      </c>
      <c r="D124" s="7"/>
      <c r="E124" s="7"/>
      <c r="F124" s="7"/>
      <c r="G124" s="7"/>
      <c r="H124" s="7">
        <v>5</v>
      </c>
      <c r="I124" s="7"/>
      <c r="J124" s="7"/>
      <c r="K124" s="7"/>
      <c r="L124" s="7"/>
      <c r="M124" s="7"/>
      <c r="N124" s="7"/>
      <c r="O124" s="7"/>
      <c r="P124" s="7"/>
      <c r="Q124" s="7"/>
      <c r="R124" s="8">
        <v>8</v>
      </c>
    </row>
    <row r="125" spans="1:18" x14ac:dyDescent="0.25">
      <c r="A125" s="4"/>
      <c r="B125" s="6" t="s">
        <v>519</v>
      </c>
      <c r="C125" s="6">
        <v>3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3</v>
      </c>
    </row>
    <row r="126" spans="1:18" x14ac:dyDescent="0.25">
      <c r="A126" s="4"/>
      <c r="B126" s="5" t="s">
        <v>520</v>
      </c>
      <c r="C126" s="6"/>
      <c r="D126" s="7"/>
      <c r="E126" s="7">
        <v>0.3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>
        <v>0.3</v>
      </c>
    </row>
    <row r="127" spans="1:18" x14ac:dyDescent="0.25">
      <c r="A127" s="4"/>
      <c r="B127" s="6" t="s">
        <v>521</v>
      </c>
      <c r="C127" s="6">
        <v>15</v>
      </c>
      <c r="D127" s="7"/>
      <c r="E127" s="7"/>
      <c r="F127" s="7">
        <v>2</v>
      </c>
      <c r="G127" s="7">
        <v>1</v>
      </c>
      <c r="H127" s="7">
        <v>27</v>
      </c>
      <c r="I127" s="7"/>
      <c r="J127" s="7">
        <v>3</v>
      </c>
      <c r="K127" s="7">
        <v>1</v>
      </c>
      <c r="L127" s="7"/>
      <c r="M127" s="7"/>
      <c r="N127" s="7"/>
      <c r="O127" s="7"/>
      <c r="P127" s="7"/>
      <c r="Q127" s="7">
        <v>5</v>
      </c>
      <c r="R127" s="8">
        <v>54</v>
      </c>
    </row>
    <row r="128" spans="1:18" x14ac:dyDescent="0.25">
      <c r="A128" s="4"/>
      <c r="B128" s="6" t="s">
        <v>522</v>
      </c>
      <c r="C128" s="6"/>
      <c r="D128" s="7"/>
      <c r="E128" s="7">
        <v>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>
        <v>1</v>
      </c>
    </row>
    <row r="129" spans="1:18" x14ac:dyDescent="0.25">
      <c r="A129" s="4"/>
      <c r="B129" s="6" t="s">
        <v>523</v>
      </c>
      <c r="C129" s="6">
        <v>14</v>
      </c>
      <c r="D129" s="7"/>
      <c r="E129" s="7"/>
      <c r="F129" s="7">
        <v>3</v>
      </c>
      <c r="G129" s="7">
        <v>2</v>
      </c>
      <c r="H129" s="7">
        <v>30</v>
      </c>
      <c r="I129" s="7">
        <v>2</v>
      </c>
      <c r="J129" s="7">
        <v>8</v>
      </c>
      <c r="K129" s="7">
        <v>7</v>
      </c>
      <c r="L129" s="7">
        <v>8</v>
      </c>
      <c r="M129" s="7">
        <v>2</v>
      </c>
      <c r="N129" s="7"/>
      <c r="O129" s="7"/>
      <c r="P129" s="7"/>
      <c r="Q129" s="7"/>
      <c r="R129" s="8">
        <v>76</v>
      </c>
    </row>
    <row r="130" spans="1:18" x14ac:dyDescent="0.25">
      <c r="A130" s="4"/>
      <c r="B130" s="6" t="s">
        <v>524</v>
      </c>
      <c r="C130" s="6">
        <v>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>
        <v>2</v>
      </c>
    </row>
    <row r="131" spans="1:18" x14ac:dyDescent="0.25">
      <c r="A131" s="4"/>
      <c r="B131" s="6" t="s">
        <v>525</v>
      </c>
      <c r="C131" s="6">
        <v>3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>
        <v>3</v>
      </c>
    </row>
    <row r="132" spans="1:18" x14ac:dyDescent="0.25">
      <c r="A132" s="4"/>
      <c r="B132" s="6" t="s">
        <v>526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>
        <v>8.4</v>
      </c>
      <c r="P132" s="7"/>
      <c r="Q132" s="7"/>
      <c r="R132" s="8">
        <v>8.4</v>
      </c>
    </row>
    <row r="133" spans="1:18" x14ac:dyDescent="0.25">
      <c r="A133" s="4"/>
      <c r="B133" s="15"/>
      <c r="C133" s="1">
        <v>379.5</v>
      </c>
      <c r="D133" s="2">
        <v>41</v>
      </c>
      <c r="E133" s="2">
        <v>47.35</v>
      </c>
      <c r="F133" s="2">
        <v>20</v>
      </c>
      <c r="G133" s="2">
        <v>604</v>
      </c>
      <c r="H133" s="2">
        <v>418.65</v>
      </c>
      <c r="I133" s="2">
        <v>11.5</v>
      </c>
      <c r="J133" s="2">
        <v>27</v>
      </c>
      <c r="K133" s="2">
        <v>43.5</v>
      </c>
      <c r="L133" s="2">
        <v>13</v>
      </c>
      <c r="M133" s="2">
        <v>72</v>
      </c>
      <c r="N133" s="2">
        <v>26.25</v>
      </c>
      <c r="O133" s="2">
        <v>41.65</v>
      </c>
      <c r="P133" s="2">
        <v>7</v>
      </c>
      <c r="Q133" s="2">
        <v>22.5</v>
      </c>
      <c r="R133" s="3">
        <v>1774.9</v>
      </c>
    </row>
    <row r="134" spans="1:18" x14ac:dyDescent="0.25">
      <c r="A134" s="1" t="s">
        <v>527</v>
      </c>
      <c r="B134" s="15"/>
      <c r="C134" s="1">
        <v>379.5</v>
      </c>
      <c r="D134" s="2">
        <v>41</v>
      </c>
      <c r="E134" s="2">
        <v>47.35</v>
      </c>
      <c r="F134" s="2">
        <v>20</v>
      </c>
      <c r="G134" s="2">
        <v>604</v>
      </c>
      <c r="H134" s="2">
        <v>418.65</v>
      </c>
      <c r="I134" s="2">
        <v>11.5</v>
      </c>
      <c r="J134" s="2">
        <v>27</v>
      </c>
      <c r="K134" s="2">
        <v>43.5</v>
      </c>
      <c r="L134" s="2">
        <v>13</v>
      </c>
      <c r="M134" s="2">
        <v>72</v>
      </c>
      <c r="N134" s="2">
        <v>26.25</v>
      </c>
      <c r="O134" s="2">
        <v>41.65</v>
      </c>
      <c r="P134" s="2">
        <v>7</v>
      </c>
      <c r="Q134" s="2">
        <v>22.5</v>
      </c>
      <c r="R134" s="3">
        <v>1774.9</v>
      </c>
    </row>
    <row r="135" spans="1:18" x14ac:dyDescent="0.25">
      <c r="A135" s="9" t="s">
        <v>18</v>
      </c>
      <c r="B135" s="10"/>
      <c r="C135" s="9">
        <v>379.5</v>
      </c>
      <c r="D135" s="11">
        <v>41</v>
      </c>
      <c r="E135" s="11">
        <v>47.35</v>
      </c>
      <c r="F135" s="11">
        <v>20</v>
      </c>
      <c r="G135" s="11">
        <v>604</v>
      </c>
      <c r="H135" s="11">
        <v>418.65</v>
      </c>
      <c r="I135" s="11">
        <v>11.5</v>
      </c>
      <c r="J135" s="11">
        <v>27</v>
      </c>
      <c r="K135" s="11">
        <v>43.5</v>
      </c>
      <c r="L135" s="11">
        <v>13</v>
      </c>
      <c r="M135" s="11">
        <v>72</v>
      </c>
      <c r="N135" s="11">
        <v>26.25</v>
      </c>
      <c r="O135" s="11">
        <v>41.65</v>
      </c>
      <c r="P135" s="11">
        <v>7</v>
      </c>
      <c r="Q135" s="11">
        <v>22.5</v>
      </c>
      <c r="R135" s="12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 x14ac:dyDescent="0.25"/>
  <cols>
    <col min="1" max="1" width="29.85546875" customWidth="1"/>
    <col min="2" max="2" width="57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3" t="s">
        <v>18</v>
      </c>
    </row>
    <row r="2" spans="1:18" x14ac:dyDescent="0.25">
      <c r="A2" s="1" t="s">
        <v>528</v>
      </c>
      <c r="B2" s="1" t="s">
        <v>529</v>
      </c>
      <c r="C2" s="1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>
        <v>5</v>
      </c>
    </row>
    <row r="3" spans="1:18" x14ac:dyDescent="0.25">
      <c r="A3" s="4"/>
      <c r="B3" s="6" t="s">
        <v>530</v>
      </c>
      <c r="C3" s="6"/>
      <c r="D3" s="7"/>
      <c r="E3" s="7"/>
      <c r="F3" s="7"/>
      <c r="G3" s="7"/>
      <c r="H3" s="7">
        <v>5</v>
      </c>
      <c r="I3" s="7"/>
      <c r="J3" s="7"/>
      <c r="K3" s="7"/>
      <c r="L3" s="7"/>
      <c r="M3" s="7"/>
      <c r="N3" s="7"/>
      <c r="O3" s="7"/>
      <c r="P3" s="7"/>
      <c r="Q3" s="7"/>
      <c r="R3" s="8">
        <v>5</v>
      </c>
    </row>
    <row r="4" spans="1:18" x14ac:dyDescent="0.25">
      <c r="A4" s="4"/>
      <c r="B4" s="6" t="s">
        <v>531</v>
      </c>
      <c r="C4" s="6"/>
      <c r="D4" s="7">
        <v>11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>
        <v>11</v>
      </c>
    </row>
    <row r="5" spans="1:18" x14ac:dyDescent="0.25">
      <c r="A5" s="4"/>
      <c r="B5" s="6" t="s">
        <v>532</v>
      </c>
      <c r="C5" s="6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 x14ac:dyDescent="0.25">
      <c r="A6" s="4"/>
      <c r="B6" s="6" t="s">
        <v>533</v>
      </c>
      <c r="C6" s="6"/>
      <c r="D6" s="7"/>
      <c r="E6" s="7"/>
      <c r="F6" s="7"/>
      <c r="G6" s="7"/>
      <c r="H6" s="7">
        <v>1.1000000000000001</v>
      </c>
      <c r="I6" s="7"/>
      <c r="J6" s="7"/>
      <c r="K6" s="7"/>
      <c r="L6" s="7"/>
      <c r="M6" s="7"/>
      <c r="N6" s="7"/>
      <c r="O6" s="7"/>
      <c r="P6" s="7"/>
      <c r="Q6" s="7"/>
      <c r="R6" s="8">
        <v>1.1000000000000001</v>
      </c>
    </row>
    <row r="7" spans="1:18" x14ac:dyDescent="0.25">
      <c r="A7" s="4"/>
      <c r="B7" s="6" t="s">
        <v>534</v>
      </c>
      <c r="C7" s="6">
        <v>5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8">
        <v>6</v>
      </c>
    </row>
    <row r="8" spans="1:18" x14ac:dyDescent="0.25">
      <c r="A8" s="4"/>
      <c r="B8" s="6" t="s">
        <v>535</v>
      </c>
      <c r="C8" s="6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9</v>
      </c>
    </row>
    <row r="9" spans="1:18" x14ac:dyDescent="0.25">
      <c r="A9" s="4"/>
      <c r="B9" s="6" t="s">
        <v>536</v>
      </c>
      <c r="C9" s="6">
        <v>3</v>
      </c>
      <c r="D9" s="7"/>
      <c r="E9" s="7"/>
      <c r="F9" s="7"/>
      <c r="G9" s="7"/>
      <c r="H9" s="7">
        <v>7.5</v>
      </c>
      <c r="I9" s="7"/>
      <c r="J9" s="7"/>
      <c r="K9" s="7"/>
      <c r="L9" s="7"/>
      <c r="M9" s="7"/>
      <c r="N9" s="7"/>
      <c r="O9" s="7"/>
      <c r="P9" s="7"/>
      <c r="Q9" s="7"/>
      <c r="R9" s="8">
        <v>10.5</v>
      </c>
    </row>
    <row r="10" spans="1:18" x14ac:dyDescent="0.25">
      <c r="A10" s="4"/>
      <c r="B10" s="6" t="s">
        <v>537</v>
      </c>
      <c r="C10" s="6"/>
      <c r="D10" s="7"/>
      <c r="E10" s="7"/>
      <c r="F10" s="7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3</v>
      </c>
      <c r="R10" s="8">
        <v>11</v>
      </c>
    </row>
    <row r="11" spans="1:18" x14ac:dyDescent="0.25">
      <c r="A11" s="4"/>
      <c r="B11" s="6" t="s">
        <v>538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2</v>
      </c>
      <c r="R11" s="8">
        <v>2</v>
      </c>
    </row>
    <row r="12" spans="1:18" x14ac:dyDescent="0.25">
      <c r="A12" s="4"/>
      <c r="B12" s="6" t="s">
        <v>539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1</v>
      </c>
      <c r="R12" s="8">
        <v>1</v>
      </c>
    </row>
    <row r="13" spans="1:18" x14ac:dyDescent="0.25">
      <c r="A13" s="4"/>
      <c r="B13" s="6" t="s">
        <v>540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5</v>
      </c>
      <c r="R13" s="8">
        <v>5</v>
      </c>
    </row>
    <row r="14" spans="1:18" x14ac:dyDescent="0.25">
      <c r="A14" s="4"/>
      <c r="B14" s="6" t="s">
        <v>541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3</v>
      </c>
      <c r="R14" s="8">
        <v>3</v>
      </c>
    </row>
    <row r="15" spans="1:18" x14ac:dyDescent="0.25">
      <c r="A15" s="4"/>
      <c r="B15" s="6" t="s">
        <v>542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3</v>
      </c>
      <c r="R15" s="8">
        <v>3</v>
      </c>
    </row>
    <row r="16" spans="1:18" x14ac:dyDescent="0.25">
      <c r="A16" s="4"/>
      <c r="B16" s="6" t="s">
        <v>543</v>
      </c>
      <c r="C16" s="6">
        <v>1</v>
      </c>
      <c r="D16" s="7"/>
      <c r="E16" s="7"/>
      <c r="F16" s="7"/>
      <c r="G16" s="7"/>
      <c r="H16" s="7">
        <v>9</v>
      </c>
      <c r="I16" s="7"/>
      <c r="J16" s="7"/>
      <c r="K16" s="7"/>
      <c r="L16" s="7"/>
      <c r="M16" s="7"/>
      <c r="N16" s="7"/>
      <c r="O16" s="7"/>
      <c r="P16" s="7"/>
      <c r="Q16" s="7"/>
      <c r="R16" s="8">
        <v>10</v>
      </c>
    </row>
    <row r="17" spans="1:18" x14ac:dyDescent="0.25">
      <c r="A17" s="4"/>
      <c r="B17" s="6" t="s">
        <v>544</v>
      </c>
      <c r="C17" s="6"/>
      <c r="D17" s="7"/>
      <c r="E17" s="7"/>
      <c r="F17" s="7"/>
      <c r="G17" s="7"/>
      <c r="H17" s="7"/>
      <c r="I17" s="7"/>
      <c r="J17" s="7"/>
      <c r="K17" s="7">
        <v>4</v>
      </c>
      <c r="L17" s="7"/>
      <c r="M17" s="7"/>
      <c r="N17" s="7"/>
      <c r="O17" s="7"/>
      <c r="P17" s="7"/>
      <c r="Q17" s="7"/>
      <c r="R17" s="8">
        <v>4</v>
      </c>
    </row>
    <row r="18" spans="1:18" x14ac:dyDescent="0.25">
      <c r="A18" s="4"/>
      <c r="B18" s="6" t="s">
        <v>545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25</v>
      </c>
      <c r="R18" s="8">
        <v>25</v>
      </c>
    </row>
    <row r="19" spans="1:18" x14ac:dyDescent="0.25">
      <c r="A19" s="4"/>
      <c r="B19" s="6" t="s">
        <v>546</v>
      </c>
      <c r="C19" s="6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>
        <v>7</v>
      </c>
    </row>
    <row r="20" spans="1:18" x14ac:dyDescent="0.25">
      <c r="A20" s="4"/>
      <c r="B20" s="6" t="s">
        <v>547</v>
      </c>
      <c r="C20" s="6"/>
      <c r="D20" s="7"/>
      <c r="E20" s="7"/>
      <c r="F20" s="7"/>
      <c r="G20" s="7"/>
      <c r="H20" s="7">
        <v>4</v>
      </c>
      <c r="I20" s="7"/>
      <c r="J20" s="7"/>
      <c r="K20" s="7"/>
      <c r="L20" s="7"/>
      <c r="M20" s="7"/>
      <c r="N20" s="7"/>
      <c r="O20" s="7"/>
      <c r="P20" s="7"/>
      <c r="Q20" s="7"/>
      <c r="R20" s="8">
        <v>4</v>
      </c>
    </row>
    <row r="21" spans="1:18" x14ac:dyDescent="0.25">
      <c r="A21" s="4"/>
      <c r="B21" s="6" t="s">
        <v>548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v>3</v>
      </c>
      <c r="P21" s="7"/>
      <c r="Q21" s="7"/>
      <c r="R21" s="8">
        <v>3</v>
      </c>
    </row>
    <row r="22" spans="1:18" x14ac:dyDescent="0.25">
      <c r="A22" s="4"/>
      <c r="B22" s="6" t="s">
        <v>344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 x14ac:dyDescent="0.25">
      <c r="A23" s="4"/>
      <c r="B23" s="6" t="s">
        <v>549</v>
      </c>
      <c r="C23" s="6"/>
      <c r="D23" s="7">
        <v>2.2999999999999998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>
        <v>2.2999999999999998</v>
      </c>
    </row>
    <row r="24" spans="1:18" x14ac:dyDescent="0.25">
      <c r="A24" s="4"/>
      <c r="B24" s="6" t="s">
        <v>550</v>
      </c>
      <c r="C24" s="6">
        <v>6</v>
      </c>
      <c r="D24" s="7"/>
      <c r="E24" s="7"/>
      <c r="F24" s="7"/>
      <c r="G24" s="7"/>
      <c r="H24" s="7">
        <v>4</v>
      </c>
      <c r="I24" s="7">
        <v>2</v>
      </c>
      <c r="J24" s="7"/>
      <c r="K24" s="7">
        <v>1</v>
      </c>
      <c r="L24" s="7">
        <v>11</v>
      </c>
      <c r="M24" s="7"/>
      <c r="N24" s="7"/>
      <c r="O24" s="7"/>
      <c r="P24" s="7">
        <v>2</v>
      </c>
      <c r="Q24" s="7"/>
      <c r="R24" s="8">
        <v>26</v>
      </c>
    </row>
    <row r="25" spans="1:18" x14ac:dyDescent="0.25">
      <c r="A25" s="4"/>
      <c r="B25" s="6" t="s">
        <v>551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>
        <v>41</v>
      </c>
      <c r="N25" s="7"/>
      <c r="O25" s="7"/>
      <c r="P25" s="7"/>
      <c r="Q25" s="7"/>
      <c r="R25" s="8">
        <v>41</v>
      </c>
    </row>
    <row r="26" spans="1:18" x14ac:dyDescent="0.25">
      <c r="A26" s="4"/>
      <c r="B26" s="6" t="s">
        <v>552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30</v>
      </c>
      <c r="N26" s="7"/>
      <c r="O26" s="7"/>
      <c r="P26" s="7"/>
      <c r="Q26" s="7"/>
      <c r="R26" s="8">
        <v>30</v>
      </c>
    </row>
    <row r="27" spans="1:18" x14ac:dyDescent="0.25">
      <c r="A27" s="4"/>
      <c r="B27" s="6" t="s">
        <v>553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</v>
      </c>
      <c r="R27" s="8">
        <v>1</v>
      </c>
    </row>
    <row r="28" spans="1:18" x14ac:dyDescent="0.25">
      <c r="A28" s="4"/>
      <c r="B28" s="6" t="s">
        <v>554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10</v>
      </c>
      <c r="R28" s="8">
        <v>10</v>
      </c>
    </row>
    <row r="29" spans="1:18" x14ac:dyDescent="0.25">
      <c r="A29" s="4"/>
      <c r="B29" s="6" t="s">
        <v>555</v>
      </c>
      <c r="C29" s="6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v>3</v>
      </c>
    </row>
    <row r="30" spans="1:18" x14ac:dyDescent="0.25">
      <c r="A30" s="4"/>
      <c r="B30" s="6" t="s">
        <v>556</v>
      </c>
      <c r="C30" s="6"/>
      <c r="D30" s="7"/>
      <c r="E30" s="7"/>
      <c r="F30" s="7">
        <v>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8">
        <v>11</v>
      </c>
    </row>
    <row r="31" spans="1:18" x14ac:dyDescent="0.25">
      <c r="A31" s="4"/>
      <c r="B31" s="6" t="s">
        <v>557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1</v>
      </c>
      <c r="R31" s="8">
        <v>1</v>
      </c>
    </row>
    <row r="32" spans="1:18" x14ac:dyDescent="0.25">
      <c r="A32" s="4"/>
      <c r="B32" s="6" t="s">
        <v>558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>
        <v>5</v>
      </c>
      <c r="R32" s="8">
        <v>5</v>
      </c>
    </row>
    <row r="33" spans="1:18" x14ac:dyDescent="0.25">
      <c r="A33" s="4"/>
      <c r="B33" s="6" t="s">
        <v>559</v>
      </c>
      <c r="C33" s="6">
        <v>36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36</v>
      </c>
    </row>
    <row r="34" spans="1:18" x14ac:dyDescent="0.25">
      <c r="A34" s="4"/>
      <c r="B34" s="6" t="s">
        <v>560</v>
      </c>
      <c r="C34" s="6">
        <v>84</v>
      </c>
      <c r="D34" s="7"/>
      <c r="E34" s="7"/>
      <c r="F34" s="7"/>
      <c r="G34" s="7"/>
      <c r="H34" s="7">
        <v>441.45</v>
      </c>
      <c r="I34" s="7"/>
      <c r="J34" s="7"/>
      <c r="K34" s="7"/>
      <c r="L34" s="7"/>
      <c r="M34" s="7"/>
      <c r="N34" s="7"/>
      <c r="O34" s="7"/>
      <c r="P34" s="7"/>
      <c r="Q34" s="7"/>
      <c r="R34" s="8">
        <v>525.45000000000005</v>
      </c>
    </row>
    <row r="35" spans="1:18" x14ac:dyDescent="0.25">
      <c r="A35" s="4"/>
      <c r="B35" s="5" t="s">
        <v>362</v>
      </c>
      <c r="C35" s="6"/>
      <c r="D35" s="7">
        <v>4.2</v>
      </c>
      <c r="E35" s="7"/>
      <c r="F35" s="7">
        <v>25</v>
      </c>
      <c r="G35" s="7"/>
      <c r="H35" s="7">
        <v>2</v>
      </c>
      <c r="I35" s="7"/>
      <c r="J35" s="7"/>
      <c r="K35" s="7"/>
      <c r="L35" s="7"/>
      <c r="M35" s="7"/>
      <c r="N35" s="7"/>
      <c r="O35" s="7">
        <v>1</v>
      </c>
      <c r="P35" s="7">
        <v>1</v>
      </c>
      <c r="Q35" s="7"/>
      <c r="R35" s="8">
        <v>33.200000000000003</v>
      </c>
    </row>
    <row r="36" spans="1:18" x14ac:dyDescent="0.25">
      <c r="A36" s="4"/>
      <c r="B36" s="6" t="s">
        <v>561</v>
      </c>
      <c r="C36" s="6">
        <v>3</v>
      </c>
      <c r="D36" s="7"/>
      <c r="E36" s="7"/>
      <c r="F36" s="7"/>
      <c r="G36" s="7">
        <v>1</v>
      </c>
      <c r="H36" s="7">
        <v>35.15</v>
      </c>
      <c r="I36" s="7"/>
      <c r="J36" s="7"/>
      <c r="K36" s="7"/>
      <c r="L36" s="7"/>
      <c r="M36" s="7"/>
      <c r="N36" s="7"/>
      <c r="O36" s="7"/>
      <c r="P36" s="7"/>
      <c r="Q36" s="7">
        <v>3</v>
      </c>
      <c r="R36" s="8">
        <v>42.15</v>
      </c>
    </row>
    <row r="37" spans="1:18" x14ac:dyDescent="0.25">
      <c r="A37" s="4"/>
      <c r="B37" s="6" t="s">
        <v>562</v>
      </c>
      <c r="C37" s="6">
        <v>3</v>
      </c>
      <c r="D37" s="7"/>
      <c r="E37" s="7"/>
      <c r="F37" s="7"/>
      <c r="G37" s="7"/>
      <c r="H37" s="7">
        <v>36</v>
      </c>
      <c r="I37" s="7"/>
      <c r="J37" s="7"/>
      <c r="K37" s="7"/>
      <c r="L37" s="7"/>
      <c r="M37" s="7"/>
      <c r="N37" s="7"/>
      <c r="O37" s="7"/>
      <c r="P37" s="7"/>
      <c r="Q37" s="7">
        <v>1</v>
      </c>
      <c r="R37" s="8">
        <v>40</v>
      </c>
    </row>
    <row r="38" spans="1:18" x14ac:dyDescent="0.25">
      <c r="A38" s="4"/>
      <c r="B38" s="6" t="s">
        <v>563</v>
      </c>
      <c r="C38" s="6">
        <v>40</v>
      </c>
      <c r="D38" s="7"/>
      <c r="E38" s="7"/>
      <c r="F38" s="7"/>
      <c r="G38" s="7"/>
      <c r="H38" s="7">
        <v>2.1</v>
      </c>
      <c r="I38" s="7">
        <v>1</v>
      </c>
      <c r="J38" s="7">
        <v>1</v>
      </c>
      <c r="K38" s="7">
        <v>1</v>
      </c>
      <c r="L38" s="7">
        <v>1</v>
      </c>
      <c r="M38" s="7"/>
      <c r="N38" s="7"/>
      <c r="O38" s="7"/>
      <c r="P38" s="7"/>
      <c r="Q38" s="7">
        <v>12</v>
      </c>
      <c r="R38" s="8">
        <v>58.1</v>
      </c>
    </row>
    <row r="39" spans="1:18" x14ac:dyDescent="0.25">
      <c r="A39" s="4"/>
      <c r="B39" s="6" t="s">
        <v>564</v>
      </c>
      <c r="C39" s="6"/>
      <c r="D39" s="7"/>
      <c r="E39" s="7"/>
      <c r="F39" s="7"/>
      <c r="G39" s="7"/>
      <c r="H39" s="7">
        <v>20</v>
      </c>
      <c r="I39" s="7"/>
      <c r="J39" s="7"/>
      <c r="K39" s="7"/>
      <c r="L39" s="7"/>
      <c r="M39" s="7"/>
      <c r="N39" s="7"/>
      <c r="O39" s="7"/>
      <c r="P39" s="7"/>
      <c r="Q39" s="7"/>
      <c r="R39" s="8">
        <v>20</v>
      </c>
    </row>
    <row r="40" spans="1:18" x14ac:dyDescent="0.25">
      <c r="A40" s="4"/>
      <c r="B40" s="6" t="s">
        <v>565</v>
      </c>
      <c r="C40" s="6"/>
      <c r="D40" s="7"/>
      <c r="E40" s="7"/>
      <c r="F40" s="7"/>
      <c r="G40" s="7">
        <v>11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8">
        <v>11</v>
      </c>
    </row>
    <row r="41" spans="1:18" x14ac:dyDescent="0.25">
      <c r="A41" s="4"/>
      <c r="B41" s="6" t="s">
        <v>566</v>
      </c>
      <c r="C41" s="6"/>
      <c r="D41" s="7"/>
      <c r="E41" s="7"/>
      <c r="F41" s="7">
        <v>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4</v>
      </c>
    </row>
    <row r="42" spans="1:18" x14ac:dyDescent="0.25">
      <c r="A42" s="4"/>
      <c r="B42" s="6" t="s">
        <v>567</v>
      </c>
      <c r="C42" s="6"/>
      <c r="D42" s="7"/>
      <c r="E42" s="7"/>
      <c r="F42" s="7"/>
      <c r="G42" s="7"/>
      <c r="H42" s="7">
        <v>10</v>
      </c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 x14ac:dyDescent="0.25">
      <c r="A43" s="4"/>
      <c r="B43" s="6" t="s">
        <v>568</v>
      </c>
      <c r="C43" s="6">
        <v>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3</v>
      </c>
      <c r="R43" s="8">
        <v>5</v>
      </c>
    </row>
    <row r="44" spans="1:18" x14ac:dyDescent="0.25">
      <c r="A44" s="4"/>
      <c r="B44" s="6" t="s">
        <v>569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9</v>
      </c>
      <c r="R44" s="8">
        <v>9</v>
      </c>
    </row>
    <row r="45" spans="1:18" x14ac:dyDescent="0.25">
      <c r="A45" s="4"/>
      <c r="B45" s="6" t="s">
        <v>570</v>
      </c>
      <c r="C45" s="6">
        <v>10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10</v>
      </c>
    </row>
    <row r="46" spans="1:18" x14ac:dyDescent="0.25">
      <c r="A46" s="4"/>
      <c r="B46" s="6" t="s">
        <v>571</v>
      </c>
      <c r="C46" s="6">
        <v>62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>
        <v>62</v>
      </c>
    </row>
    <row r="47" spans="1:18" x14ac:dyDescent="0.25">
      <c r="A47" s="4"/>
      <c r="B47" s="6" t="s">
        <v>572</v>
      </c>
      <c r="C47" s="6"/>
      <c r="D47" s="7"/>
      <c r="E47" s="7"/>
      <c r="F47" s="7"/>
      <c r="G47" s="7"/>
      <c r="H47" s="7"/>
      <c r="I47" s="7"/>
      <c r="J47" s="7"/>
      <c r="K47" s="7"/>
      <c r="L47" s="7">
        <v>96.5</v>
      </c>
      <c r="M47" s="7"/>
      <c r="N47" s="7"/>
      <c r="O47" s="7"/>
      <c r="P47" s="7"/>
      <c r="Q47" s="7"/>
      <c r="R47" s="8">
        <v>96.5</v>
      </c>
    </row>
    <row r="48" spans="1:18" x14ac:dyDescent="0.25">
      <c r="A48" s="4"/>
      <c r="B48" s="5" t="s">
        <v>573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1</v>
      </c>
      <c r="R48" s="8">
        <v>1</v>
      </c>
    </row>
    <row r="49" spans="1:18" x14ac:dyDescent="0.25">
      <c r="A49" s="4"/>
      <c r="B49" s="6" t="s">
        <v>574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2</v>
      </c>
      <c r="R49" s="8">
        <v>2</v>
      </c>
    </row>
    <row r="50" spans="1:18" x14ac:dyDescent="0.25">
      <c r="A50" s="4"/>
      <c r="B50" s="6" t="s">
        <v>575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3</v>
      </c>
      <c r="R50" s="8">
        <v>3</v>
      </c>
    </row>
    <row r="51" spans="1:18" x14ac:dyDescent="0.25">
      <c r="A51" s="4"/>
      <c r="B51" s="6" t="s">
        <v>576</v>
      </c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5</v>
      </c>
      <c r="R51" s="8">
        <v>5</v>
      </c>
    </row>
    <row r="52" spans="1:18" x14ac:dyDescent="0.25">
      <c r="A52" s="4"/>
      <c r="B52" s="6" t="s">
        <v>577</v>
      </c>
      <c r="C52" s="6"/>
      <c r="D52" s="7"/>
      <c r="E52" s="7"/>
      <c r="F52" s="7"/>
      <c r="G52" s="7"/>
      <c r="H52" s="7">
        <v>98</v>
      </c>
      <c r="I52" s="7"/>
      <c r="J52" s="7"/>
      <c r="K52" s="7"/>
      <c r="L52" s="7"/>
      <c r="M52" s="7"/>
      <c r="N52" s="7"/>
      <c r="O52" s="7"/>
      <c r="P52" s="7"/>
      <c r="Q52" s="7">
        <v>7</v>
      </c>
      <c r="R52" s="8">
        <v>105</v>
      </c>
    </row>
    <row r="53" spans="1:18" x14ac:dyDescent="0.25">
      <c r="A53" s="4"/>
      <c r="B53" s="6" t="s">
        <v>578</v>
      </c>
      <c r="C53" s="6"/>
      <c r="D53" s="7"/>
      <c r="E53" s="7">
        <v>0.5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 x14ac:dyDescent="0.25">
      <c r="A54" s="4"/>
      <c r="B54" s="6" t="s">
        <v>579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</v>
      </c>
      <c r="R54" s="8">
        <v>8</v>
      </c>
    </row>
    <row r="55" spans="1:18" x14ac:dyDescent="0.25">
      <c r="A55" s="4"/>
      <c r="B55" s="6" t="s">
        <v>580</v>
      </c>
      <c r="C55" s="6">
        <v>19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19</v>
      </c>
    </row>
    <row r="56" spans="1:18" x14ac:dyDescent="0.25">
      <c r="A56" s="4"/>
      <c r="B56" s="6" t="s">
        <v>581</v>
      </c>
      <c r="C56" s="6">
        <v>164</v>
      </c>
      <c r="D56" s="7"/>
      <c r="E56" s="7"/>
      <c r="F56" s="7"/>
      <c r="G56" s="7"/>
      <c r="H56" s="7">
        <v>265</v>
      </c>
      <c r="I56" s="7"/>
      <c r="J56" s="7"/>
      <c r="K56" s="7"/>
      <c r="L56" s="7"/>
      <c r="M56" s="7"/>
      <c r="N56" s="7"/>
      <c r="O56" s="7"/>
      <c r="P56" s="7"/>
      <c r="Q56" s="7"/>
      <c r="R56" s="8">
        <v>429</v>
      </c>
    </row>
    <row r="57" spans="1:18" x14ac:dyDescent="0.25">
      <c r="A57" s="4"/>
      <c r="B57" s="6" t="s">
        <v>582</v>
      </c>
      <c r="C57" s="6"/>
      <c r="D57" s="7"/>
      <c r="E57" s="7"/>
      <c r="F57" s="7"/>
      <c r="G57" s="7"/>
      <c r="H57" s="7"/>
      <c r="I57" s="7">
        <v>27</v>
      </c>
      <c r="J57" s="7"/>
      <c r="K57" s="7"/>
      <c r="L57" s="7"/>
      <c r="M57" s="7"/>
      <c r="N57" s="7"/>
      <c r="O57" s="7"/>
      <c r="P57" s="7"/>
      <c r="Q57" s="7"/>
      <c r="R57" s="8">
        <v>27</v>
      </c>
    </row>
    <row r="58" spans="1:18" x14ac:dyDescent="0.25">
      <c r="A58" s="4"/>
      <c r="B58" s="6" t="s">
        <v>583</v>
      </c>
      <c r="C58" s="6"/>
      <c r="D58" s="7"/>
      <c r="E58" s="7"/>
      <c r="F58" s="7">
        <v>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v>5</v>
      </c>
    </row>
    <row r="59" spans="1:18" x14ac:dyDescent="0.25">
      <c r="A59" s="4"/>
      <c r="B59" s="6" t="s">
        <v>584</v>
      </c>
      <c r="C59" s="6"/>
      <c r="D59" s="7"/>
      <c r="E59" s="7"/>
      <c r="F59" s="7"/>
      <c r="G59" s="7"/>
      <c r="H59" s="7"/>
      <c r="I59" s="7"/>
      <c r="J59" s="7"/>
      <c r="K59" s="7"/>
      <c r="L59" s="7">
        <v>32.5</v>
      </c>
      <c r="M59" s="7"/>
      <c r="N59" s="7"/>
      <c r="O59" s="7"/>
      <c r="P59" s="7"/>
      <c r="Q59" s="7">
        <v>16</v>
      </c>
      <c r="R59" s="8">
        <v>48.5</v>
      </c>
    </row>
    <row r="60" spans="1:18" x14ac:dyDescent="0.25">
      <c r="A60" s="4"/>
      <c r="B60" s="6" t="s">
        <v>585</v>
      </c>
      <c r="C60" s="6">
        <v>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2</v>
      </c>
    </row>
    <row r="61" spans="1:18" x14ac:dyDescent="0.25">
      <c r="A61" s="4"/>
      <c r="B61" s="6" t="s">
        <v>586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 x14ac:dyDescent="0.25">
      <c r="A62" s="4"/>
      <c r="B62" s="6" t="s">
        <v>587</v>
      </c>
      <c r="C62" s="6">
        <v>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4</v>
      </c>
    </row>
    <row r="63" spans="1:18" x14ac:dyDescent="0.25">
      <c r="A63" s="4"/>
      <c r="B63" s="6" t="s">
        <v>588</v>
      </c>
      <c r="C63" s="6">
        <v>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>
        <v>5</v>
      </c>
    </row>
    <row r="64" spans="1:18" x14ac:dyDescent="0.25">
      <c r="A64" s="4"/>
      <c r="B64" s="6" t="s">
        <v>589</v>
      </c>
      <c r="C64" s="6">
        <v>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>
        <v>9</v>
      </c>
    </row>
    <row r="65" spans="1:18" x14ac:dyDescent="0.25">
      <c r="A65" s="4"/>
      <c r="B65" s="6" t="s">
        <v>590</v>
      </c>
      <c r="C65" s="6">
        <v>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>
        <v>3</v>
      </c>
    </row>
    <row r="66" spans="1:18" x14ac:dyDescent="0.25">
      <c r="A66" s="4"/>
      <c r="B66" s="6" t="s">
        <v>591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>
        <v>24</v>
      </c>
      <c r="N66" s="7"/>
      <c r="O66" s="7"/>
      <c r="P66" s="7"/>
      <c r="Q66" s="7"/>
      <c r="R66" s="8">
        <v>24</v>
      </c>
    </row>
    <row r="67" spans="1:18" x14ac:dyDescent="0.25">
      <c r="A67" s="4"/>
      <c r="B67" s="6" t="s">
        <v>592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23</v>
      </c>
      <c r="Q67" s="7"/>
      <c r="R67" s="8">
        <v>23</v>
      </c>
    </row>
    <row r="68" spans="1:18" x14ac:dyDescent="0.25">
      <c r="A68" s="4"/>
      <c r="B68" s="6" t="s">
        <v>593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1</v>
      </c>
      <c r="O68" s="7"/>
      <c r="P68" s="7"/>
      <c r="Q68" s="7"/>
      <c r="R68" s="8">
        <v>1</v>
      </c>
    </row>
    <row r="69" spans="1:18" x14ac:dyDescent="0.25">
      <c r="A69" s="4"/>
      <c r="B69" s="6" t="s">
        <v>594</v>
      </c>
      <c r="C69" s="6"/>
      <c r="D69" s="7"/>
      <c r="E69" s="7">
        <v>5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5</v>
      </c>
    </row>
    <row r="70" spans="1:18" x14ac:dyDescent="0.25">
      <c r="A70" s="4"/>
      <c r="B70" s="6" t="s">
        <v>595</v>
      </c>
      <c r="C70" s="6"/>
      <c r="D70" s="7"/>
      <c r="E70" s="7">
        <v>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>
        <v>4</v>
      </c>
    </row>
    <row r="71" spans="1:18" x14ac:dyDescent="0.25">
      <c r="A71" s="4"/>
      <c r="B71" s="6" t="s">
        <v>596</v>
      </c>
      <c r="C71" s="6"/>
      <c r="D71" s="7"/>
      <c r="E71" s="7"/>
      <c r="F71" s="7"/>
      <c r="G71" s="7"/>
      <c r="H71" s="7"/>
      <c r="I71" s="7"/>
      <c r="J71" s="7"/>
      <c r="K71" s="7">
        <v>11</v>
      </c>
      <c r="L71" s="7"/>
      <c r="M71" s="7"/>
      <c r="N71" s="7"/>
      <c r="O71" s="7"/>
      <c r="P71" s="7"/>
      <c r="Q71" s="7"/>
      <c r="R71" s="8">
        <v>11</v>
      </c>
    </row>
    <row r="72" spans="1:18" x14ac:dyDescent="0.25">
      <c r="A72" s="4"/>
      <c r="B72" s="6" t="s">
        <v>597</v>
      </c>
      <c r="C72" s="6"/>
      <c r="D72" s="7"/>
      <c r="E72" s="7"/>
      <c r="F72" s="7"/>
      <c r="G72" s="7"/>
      <c r="H72" s="7"/>
      <c r="I72" s="7"/>
      <c r="J72" s="7"/>
      <c r="K72" s="7">
        <v>1</v>
      </c>
      <c r="L72" s="7"/>
      <c r="M72" s="7"/>
      <c r="N72" s="7"/>
      <c r="O72" s="7"/>
      <c r="P72" s="7"/>
      <c r="Q72" s="7"/>
      <c r="R72" s="8">
        <v>1</v>
      </c>
    </row>
    <row r="73" spans="1:18" x14ac:dyDescent="0.25">
      <c r="A73" s="4"/>
      <c r="B73" s="6" t="s">
        <v>598</v>
      </c>
      <c r="C73" s="6"/>
      <c r="D73" s="7"/>
      <c r="E73" s="7">
        <v>11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11</v>
      </c>
    </row>
    <row r="74" spans="1:18" x14ac:dyDescent="0.25">
      <c r="A74" s="4"/>
      <c r="B74" s="6" t="s">
        <v>599</v>
      </c>
      <c r="C74" s="6"/>
      <c r="D74" s="7"/>
      <c r="E74" s="7">
        <v>10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10</v>
      </c>
    </row>
    <row r="75" spans="1:18" x14ac:dyDescent="0.25">
      <c r="A75" s="4"/>
      <c r="B75" s="6" t="s">
        <v>600</v>
      </c>
      <c r="C75" s="6"/>
      <c r="D75" s="7"/>
      <c r="E75" s="7">
        <v>11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11</v>
      </c>
    </row>
    <row r="76" spans="1:18" x14ac:dyDescent="0.25">
      <c r="A76" s="4"/>
      <c r="B76" s="6" t="s">
        <v>601</v>
      </c>
      <c r="C76" s="6"/>
      <c r="D76" s="7"/>
      <c r="E76" s="7">
        <v>13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>
        <v>13</v>
      </c>
    </row>
    <row r="77" spans="1:18" x14ac:dyDescent="0.25">
      <c r="A77" s="4"/>
      <c r="B77" s="6" t="s">
        <v>602</v>
      </c>
      <c r="C77" s="6"/>
      <c r="D77" s="7"/>
      <c r="E77" s="7">
        <v>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>
        <v>3</v>
      </c>
    </row>
    <row r="78" spans="1:18" x14ac:dyDescent="0.25">
      <c r="A78" s="4"/>
      <c r="B78" s="6" t="s">
        <v>603</v>
      </c>
      <c r="C78" s="6"/>
      <c r="D78" s="7"/>
      <c r="E78" s="7">
        <v>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>
        <v>9</v>
      </c>
    </row>
    <row r="79" spans="1:18" x14ac:dyDescent="0.25">
      <c r="A79" s="4"/>
      <c r="B79" s="6" t="s">
        <v>604</v>
      </c>
      <c r="C79" s="6"/>
      <c r="D79" s="7"/>
      <c r="E79" s="7">
        <v>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2</v>
      </c>
    </row>
    <row r="80" spans="1:18" x14ac:dyDescent="0.25">
      <c r="A80" s="4"/>
      <c r="B80" s="6" t="s">
        <v>605</v>
      </c>
      <c r="C80" s="6"/>
      <c r="D80" s="7"/>
      <c r="E80" s="7">
        <v>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v>1</v>
      </c>
    </row>
    <row r="81" spans="1:18" x14ac:dyDescent="0.25">
      <c r="A81" s="4"/>
      <c r="B81" s="6" t="s">
        <v>606</v>
      </c>
      <c r="C81" s="6"/>
      <c r="D81" s="7"/>
      <c r="E81" s="7">
        <v>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>
        <v>4</v>
      </c>
    </row>
    <row r="82" spans="1:18" x14ac:dyDescent="0.25">
      <c r="A82" s="4"/>
      <c r="B82" s="6" t="s">
        <v>607</v>
      </c>
      <c r="C82" s="6"/>
      <c r="D82" s="7"/>
      <c r="E82" s="7"/>
      <c r="F82" s="7"/>
      <c r="G82" s="7"/>
      <c r="H82" s="7"/>
      <c r="I82" s="7"/>
      <c r="J82" s="7"/>
      <c r="K82" s="7">
        <v>9</v>
      </c>
      <c r="L82" s="7"/>
      <c r="M82" s="7"/>
      <c r="N82" s="7"/>
      <c r="O82" s="7"/>
      <c r="P82" s="7"/>
      <c r="Q82" s="7"/>
      <c r="R82" s="8">
        <v>9</v>
      </c>
    </row>
    <row r="83" spans="1:18" x14ac:dyDescent="0.25">
      <c r="A83" s="4"/>
      <c r="B83" s="6" t="s">
        <v>608</v>
      </c>
      <c r="C83" s="6"/>
      <c r="D83" s="7"/>
      <c r="E83" s="7"/>
      <c r="F83" s="7"/>
      <c r="G83" s="7"/>
      <c r="H83" s="7"/>
      <c r="I83" s="7"/>
      <c r="J83" s="7"/>
      <c r="K83" s="7">
        <v>19</v>
      </c>
      <c r="L83" s="7"/>
      <c r="M83" s="7"/>
      <c r="N83" s="7"/>
      <c r="O83" s="7"/>
      <c r="P83" s="7"/>
      <c r="Q83" s="7"/>
      <c r="R83" s="8">
        <v>19</v>
      </c>
    </row>
    <row r="84" spans="1:18" x14ac:dyDescent="0.25">
      <c r="A84" s="4"/>
      <c r="B84" s="6" t="s">
        <v>609</v>
      </c>
      <c r="C84" s="6"/>
      <c r="D84" s="7"/>
      <c r="E84" s="7"/>
      <c r="F84" s="7"/>
      <c r="G84" s="7"/>
      <c r="H84" s="7"/>
      <c r="I84" s="7"/>
      <c r="J84" s="7"/>
      <c r="K84" s="7">
        <v>9</v>
      </c>
      <c r="L84" s="7"/>
      <c r="M84" s="7"/>
      <c r="N84" s="7"/>
      <c r="O84" s="7"/>
      <c r="P84" s="7"/>
      <c r="Q84" s="7"/>
      <c r="R84" s="8">
        <v>9</v>
      </c>
    </row>
    <row r="85" spans="1:18" x14ac:dyDescent="0.25">
      <c r="A85" s="4"/>
      <c r="B85" s="6" t="s">
        <v>610</v>
      </c>
      <c r="C85" s="6">
        <v>39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39</v>
      </c>
    </row>
    <row r="86" spans="1:18" x14ac:dyDescent="0.25">
      <c r="A86" s="4"/>
      <c r="B86" s="6" t="s">
        <v>611</v>
      </c>
      <c r="C86" s="6">
        <v>61</v>
      </c>
      <c r="D86" s="7"/>
      <c r="E86" s="7"/>
      <c r="F86" s="7"/>
      <c r="G86" s="7"/>
      <c r="H86" s="7">
        <v>39</v>
      </c>
      <c r="I86" s="7"/>
      <c r="J86" s="7"/>
      <c r="K86" s="7"/>
      <c r="L86" s="7"/>
      <c r="M86" s="7"/>
      <c r="N86" s="7"/>
      <c r="O86" s="7"/>
      <c r="P86" s="7"/>
      <c r="Q86" s="7"/>
      <c r="R86" s="8">
        <v>100</v>
      </c>
    </row>
    <row r="87" spans="1:18" x14ac:dyDescent="0.25">
      <c r="A87" s="4"/>
      <c r="B87" s="6" t="s">
        <v>612</v>
      </c>
      <c r="C87" s="6"/>
      <c r="D87" s="7"/>
      <c r="E87" s="7"/>
      <c r="F87" s="7"/>
      <c r="G87" s="7"/>
      <c r="H87" s="7">
        <v>70.900000000000006</v>
      </c>
      <c r="I87" s="7"/>
      <c r="J87" s="7">
        <v>3</v>
      </c>
      <c r="K87" s="7"/>
      <c r="L87" s="7"/>
      <c r="M87" s="7"/>
      <c r="N87" s="7"/>
      <c r="O87" s="7"/>
      <c r="P87" s="7">
        <v>50</v>
      </c>
      <c r="Q87" s="7"/>
      <c r="R87" s="8">
        <v>123.9</v>
      </c>
    </row>
    <row r="88" spans="1:18" x14ac:dyDescent="0.25">
      <c r="A88" s="4"/>
      <c r="B88" s="6" t="s">
        <v>613</v>
      </c>
      <c r="C88" s="6">
        <v>228.5</v>
      </c>
      <c r="D88" s="7"/>
      <c r="E88" s="7"/>
      <c r="F88" s="7"/>
      <c r="G88" s="7"/>
      <c r="H88" s="7"/>
      <c r="I88" s="7">
        <v>1</v>
      </c>
      <c r="J88" s="7">
        <v>3</v>
      </c>
      <c r="K88" s="7"/>
      <c r="L88" s="7"/>
      <c r="M88" s="7"/>
      <c r="N88" s="7"/>
      <c r="O88" s="7"/>
      <c r="P88" s="7">
        <v>8</v>
      </c>
      <c r="Q88" s="7"/>
      <c r="R88" s="8">
        <v>240.5</v>
      </c>
    </row>
    <row r="89" spans="1:18" x14ac:dyDescent="0.25">
      <c r="A89" s="4"/>
      <c r="B89" s="6" t="s">
        <v>614</v>
      </c>
      <c r="C89" s="6"/>
      <c r="D89" s="7"/>
      <c r="E89" s="7"/>
      <c r="F89" s="7"/>
      <c r="G89" s="7"/>
      <c r="H89" s="7"/>
      <c r="I89" s="7"/>
      <c r="J89" s="7">
        <v>51</v>
      </c>
      <c r="K89" s="7"/>
      <c r="L89" s="7"/>
      <c r="M89" s="7"/>
      <c r="N89" s="7"/>
      <c r="O89" s="7"/>
      <c r="P89" s="7">
        <v>38</v>
      </c>
      <c r="Q89" s="7"/>
      <c r="R89" s="8">
        <v>89</v>
      </c>
    </row>
    <row r="90" spans="1:18" x14ac:dyDescent="0.25">
      <c r="A90" s="4"/>
      <c r="B90" s="6" t="s">
        <v>615</v>
      </c>
      <c r="C90" s="6"/>
      <c r="D90" s="7"/>
      <c r="E90" s="7">
        <v>11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>
        <v>11</v>
      </c>
    </row>
    <row r="91" spans="1:18" x14ac:dyDescent="0.25">
      <c r="A91" s="4"/>
      <c r="B91" s="6" t="s">
        <v>616</v>
      </c>
      <c r="C91" s="6"/>
      <c r="D91" s="7"/>
      <c r="E91" s="7">
        <v>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3</v>
      </c>
    </row>
    <row r="92" spans="1:18" x14ac:dyDescent="0.25">
      <c r="A92" s="4"/>
      <c r="B92" s="6" t="s">
        <v>617</v>
      </c>
      <c r="C92" s="6"/>
      <c r="D92" s="7"/>
      <c r="E92" s="7">
        <v>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>
        <v>3</v>
      </c>
    </row>
    <row r="93" spans="1:18" x14ac:dyDescent="0.25">
      <c r="A93" s="4"/>
      <c r="B93" s="6" t="s">
        <v>618</v>
      </c>
      <c r="C93" s="6"/>
      <c r="D93" s="7"/>
      <c r="E93" s="7"/>
      <c r="F93" s="7"/>
      <c r="G93" s="7"/>
      <c r="H93" s="7"/>
      <c r="I93" s="7"/>
      <c r="J93" s="7"/>
      <c r="K93" s="7">
        <v>3</v>
      </c>
      <c r="L93" s="7"/>
      <c r="M93" s="7"/>
      <c r="N93" s="7"/>
      <c r="O93" s="7"/>
      <c r="P93" s="7"/>
      <c r="Q93" s="7"/>
      <c r="R93" s="8">
        <v>3</v>
      </c>
    </row>
    <row r="94" spans="1:18" x14ac:dyDescent="0.25">
      <c r="A94" s="4"/>
      <c r="B94" s="6" t="s">
        <v>619</v>
      </c>
      <c r="C94" s="6"/>
      <c r="D94" s="7"/>
      <c r="E94" s="7"/>
      <c r="F94" s="7">
        <v>13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>
        <v>13</v>
      </c>
    </row>
    <row r="95" spans="1:18" x14ac:dyDescent="0.25">
      <c r="A95" s="4"/>
      <c r="B95" s="6" t="s">
        <v>620</v>
      </c>
      <c r="C95" s="6"/>
      <c r="D95" s="7"/>
      <c r="E95" s="7"/>
      <c r="F95" s="7"/>
      <c r="G95" s="7"/>
      <c r="H95" s="7">
        <v>53</v>
      </c>
      <c r="I95" s="7"/>
      <c r="J95" s="7"/>
      <c r="K95" s="7"/>
      <c r="L95" s="7"/>
      <c r="M95" s="7"/>
      <c r="N95" s="7"/>
      <c r="O95" s="7"/>
      <c r="P95" s="7"/>
      <c r="Q95" s="7"/>
      <c r="R95" s="8">
        <v>53</v>
      </c>
    </row>
    <row r="96" spans="1:18" x14ac:dyDescent="0.25">
      <c r="A96" s="4"/>
      <c r="B96" s="6" t="s">
        <v>621</v>
      </c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3</v>
      </c>
      <c r="R96" s="8">
        <v>3</v>
      </c>
    </row>
    <row r="97" spans="1:18" x14ac:dyDescent="0.25">
      <c r="A97" s="4"/>
      <c r="B97" s="6" t="s">
        <v>622</v>
      </c>
      <c r="C97" s="6"/>
      <c r="D97" s="7"/>
      <c r="E97" s="7"/>
      <c r="F97" s="7">
        <v>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3</v>
      </c>
    </row>
    <row r="98" spans="1:18" x14ac:dyDescent="0.25">
      <c r="A98" s="4"/>
      <c r="B98" s="6" t="s">
        <v>623</v>
      </c>
      <c r="C98" s="6"/>
      <c r="D98" s="7">
        <v>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>
        <v>2</v>
      </c>
    </row>
    <row r="99" spans="1:18" x14ac:dyDescent="0.25">
      <c r="A99" s="4"/>
      <c r="B99" s="6" t="s">
        <v>624</v>
      </c>
      <c r="C99" s="6">
        <v>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>
        <v>1</v>
      </c>
    </row>
    <row r="100" spans="1:18" x14ac:dyDescent="0.25">
      <c r="A100" s="4"/>
      <c r="B100" s="6" t="s">
        <v>625</v>
      </c>
      <c r="C100" s="6"/>
      <c r="D100" s="7"/>
      <c r="E100" s="7"/>
      <c r="F100" s="7"/>
      <c r="G100" s="7"/>
      <c r="H100" s="7">
        <v>38</v>
      </c>
      <c r="I100" s="7"/>
      <c r="J100" s="7">
        <v>5</v>
      </c>
      <c r="K100" s="7"/>
      <c r="L100" s="7"/>
      <c r="M100" s="7"/>
      <c r="N100" s="7"/>
      <c r="O100" s="7"/>
      <c r="P100" s="7"/>
      <c r="Q100" s="7"/>
      <c r="R100" s="8">
        <v>43</v>
      </c>
    </row>
    <row r="101" spans="1:18" x14ac:dyDescent="0.25">
      <c r="A101" s="4"/>
      <c r="B101" s="6" t="s">
        <v>626</v>
      </c>
      <c r="C101" s="6"/>
      <c r="D101" s="7"/>
      <c r="E101" s="7"/>
      <c r="F101" s="7"/>
      <c r="G101" s="7"/>
      <c r="H101" s="7"/>
      <c r="I101" s="7"/>
      <c r="J101" s="7">
        <v>2</v>
      </c>
      <c r="K101" s="7"/>
      <c r="L101" s="7"/>
      <c r="M101" s="7"/>
      <c r="N101" s="7"/>
      <c r="O101" s="7"/>
      <c r="P101" s="7">
        <v>92</v>
      </c>
      <c r="Q101" s="7"/>
      <c r="R101" s="8">
        <v>94</v>
      </c>
    </row>
    <row r="102" spans="1:18" x14ac:dyDescent="0.25">
      <c r="A102" s="4"/>
      <c r="B102" s="6" t="s">
        <v>627</v>
      </c>
      <c r="C102" s="6"/>
      <c r="D102" s="7"/>
      <c r="E102" s="7"/>
      <c r="F102" s="7"/>
      <c r="G102" s="7"/>
      <c r="H102" s="7">
        <v>130</v>
      </c>
      <c r="I102" s="7"/>
      <c r="J102" s="7">
        <v>81</v>
      </c>
      <c r="K102" s="7"/>
      <c r="L102" s="7"/>
      <c r="M102" s="7"/>
      <c r="N102" s="7"/>
      <c r="O102" s="7"/>
      <c r="P102" s="7">
        <v>10</v>
      </c>
      <c r="Q102" s="7"/>
      <c r="R102" s="8">
        <v>221</v>
      </c>
    </row>
    <row r="103" spans="1:18" x14ac:dyDescent="0.25">
      <c r="A103" s="4"/>
      <c r="B103" s="5" t="s">
        <v>628</v>
      </c>
      <c r="C103" s="6"/>
      <c r="D103" s="7">
        <v>2</v>
      </c>
      <c r="E103" s="7"/>
      <c r="F103" s="7">
        <v>4</v>
      </c>
      <c r="G103" s="7"/>
      <c r="H103" s="7"/>
      <c r="I103" s="7"/>
      <c r="J103" s="7"/>
      <c r="K103" s="7"/>
      <c r="L103" s="7"/>
      <c r="M103" s="7">
        <v>2</v>
      </c>
      <c r="N103" s="7"/>
      <c r="O103" s="7"/>
      <c r="P103" s="7"/>
      <c r="Q103" s="7"/>
      <c r="R103" s="8">
        <v>8</v>
      </c>
    </row>
    <row r="104" spans="1:18" x14ac:dyDescent="0.25">
      <c r="A104" s="4"/>
      <c r="B104" s="6" t="s">
        <v>629</v>
      </c>
      <c r="C104" s="6"/>
      <c r="D104" s="7"/>
      <c r="E104" s="7"/>
      <c r="F104" s="7"/>
      <c r="G104" s="7"/>
      <c r="H104" s="7">
        <v>22</v>
      </c>
      <c r="I104" s="7">
        <v>9</v>
      </c>
      <c r="J104" s="7">
        <v>3</v>
      </c>
      <c r="K104" s="7"/>
      <c r="L104" s="7"/>
      <c r="M104" s="7"/>
      <c r="N104" s="7"/>
      <c r="O104" s="7"/>
      <c r="P104" s="7">
        <v>3.5</v>
      </c>
      <c r="Q104" s="7"/>
      <c r="R104" s="8">
        <v>37.5</v>
      </c>
    </row>
    <row r="105" spans="1:18" x14ac:dyDescent="0.25">
      <c r="A105" s="4"/>
      <c r="B105" s="6" t="s">
        <v>630</v>
      </c>
      <c r="C105" s="6"/>
      <c r="D105" s="7"/>
      <c r="E105" s="7"/>
      <c r="F105" s="7"/>
      <c r="G105" s="7"/>
      <c r="H105" s="7">
        <v>4</v>
      </c>
      <c r="I105" s="7">
        <v>4</v>
      </c>
      <c r="J105" s="7">
        <v>5</v>
      </c>
      <c r="K105" s="7">
        <v>4</v>
      </c>
      <c r="L105" s="7"/>
      <c r="M105" s="7"/>
      <c r="N105" s="7"/>
      <c r="O105" s="7"/>
      <c r="P105" s="7"/>
      <c r="Q105" s="7"/>
      <c r="R105" s="8">
        <v>17</v>
      </c>
    </row>
    <row r="106" spans="1:18" x14ac:dyDescent="0.25">
      <c r="A106" s="4"/>
      <c r="B106" s="6" t="s">
        <v>631</v>
      </c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v>0.5</v>
      </c>
      <c r="O106" s="7"/>
      <c r="P106" s="7"/>
      <c r="Q106" s="7"/>
      <c r="R106" s="8">
        <v>0.5</v>
      </c>
    </row>
    <row r="107" spans="1:18" x14ac:dyDescent="0.25">
      <c r="A107" s="4"/>
      <c r="B107" s="6" t="s">
        <v>632</v>
      </c>
      <c r="C107" s="6">
        <v>26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>
        <v>26</v>
      </c>
    </row>
    <row r="108" spans="1:18" x14ac:dyDescent="0.25">
      <c r="A108" s="4"/>
      <c r="B108" s="6" t="s">
        <v>633</v>
      </c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2</v>
      </c>
      <c r="R108" s="8">
        <v>2</v>
      </c>
    </row>
    <row r="109" spans="1:18" x14ac:dyDescent="0.25">
      <c r="A109" s="4"/>
      <c r="B109" s="6" t="s">
        <v>634</v>
      </c>
      <c r="C109" s="6">
        <v>132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>
        <v>132</v>
      </c>
    </row>
    <row r="110" spans="1:18" x14ac:dyDescent="0.25">
      <c r="A110" s="4"/>
      <c r="B110" s="6" t="s">
        <v>635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1</v>
      </c>
      <c r="R110" s="8">
        <v>1</v>
      </c>
    </row>
    <row r="111" spans="1:18" x14ac:dyDescent="0.25">
      <c r="A111" s="4"/>
      <c r="B111" s="6" t="s">
        <v>636</v>
      </c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3</v>
      </c>
      <c r="R111" s="8">
        <v>3</v>
      </c>
    </row>
    <row r="112" spans="1:18" x14ac:dyDescent="0.25">
      <c r="A112" s="4"/>
      <c r="B112" s="6" t="s">
        <v>637</v>
      </c>
      <c r="C112" s="6">
        <v>13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>
        <v>13</v>
      </c>
    </row>
    <row r="113" spans="1:18" x14ac:dyDescent="0.25">
      <c r="A113" s="4"/>
      <c r="B113" s="6" t="s">
        <v>638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>
        <v>11</v>
      </c>
      <c r="Q113" s="7"/>
      <c r="R113" s="8">
        <v>11</v>
      </c>
    </row>
    <row r="114" spans="1:18" x14ac:dyDescent="0.25">
      <c r="A114" s="4"/>
      <c r="B114" s="6" t="s">
        <v>639</v>
      </c>
      <c r="C114" s="6">
        <v>20</v>
      </c>
      <c r="D114" s="7"/>
      <c r="E114" s="7"/>
      <c r="F114" s="7"/>
      <c r="G114" s="7"/>
      <c r="H114" s="7">
        <v>28.3</v>
      </c>
      <c r="I114" s="7"/>
      <c r="J114" s="7">
        <v>19</v>
      </c>
      <c r="K114" s="7"/>
      <c r="L114" s="7">
        <v>149.5</v>
      </c>
      <c r="M114" s="7"/>
      <c r="N114" s="7"/>
      <c r="O114" s="7"/>
      <c r="P114" s="7"/>
      <c r="Q114" s="7"/>
      <c r="R114" s="8">
        <v>216.8</v>
      </c>
    </row>
    <row r="115" spans="1:18" x14ac:dyDescent="0.25">
      <c r="A115" s="4"/>
      <c r="B115" s="6" t="s">
        <v>640</v>
      </c>
      <c r="C115" s="6"/>
      <c r="D115" s="7"/>
      <c r="E115" s="7"/>
      <c r="F115" s="7"/>
      <c r="G115" s="7"/>
      <c r="H115" s="7">
        <v>6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6</v>
      </c>
    </row>
    <row r="116" spans="1:18" x14ac:dyDescent="0.25">
      <c r="A116" s="4"/>
      <c r="B116" s="6" t="s">
        <v>641</v>
      </c>
      <c r="C116" s="6"/>
      <c r="D116" s="7"/>
      <c r="E116" s="7">
        <v>3</v>
      </c>
      <c r="F116" s="7"/>
      <c r="G116" s="7"/>
      <c r="H116" s="7"/>
      <c r="I116" s="7"/>
      <c r="J116" s="7"/>
      <c r="K116" s="7">
        <v>3</v>
      </c>
      <c r="L116" s="7"/>
      <c r="M116" s="7"/>
      <c r="N116" s="7"/>
      <c r="O116" s="7"/>
      <c r="P116" s="7"/>
      <c r="Q116" s="7"/>
      <c r="R116" s="8">
        <v>6</v>
      </c>
    </row>
    <row r="117" spans="1:18" x14ac:dyDescent="0.25">
      <c r="A117" s="4"/>
      <c r="B117" s="6" t="s">
        <v>642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>
        <v>1</v>
      </c>
      <c r="N117" s="7"/>
      <c r="O117" s="7"/>
      <c r="P117" s="7"/>
      <c r="Q117" s="7"/>
      <c r="R117" s="8">
        <v>1</v>
      </c>
    </row>
    <row r="118" spans="1:18" x14ac:dyDescent="0.25">
      <c r="A118" s="4"/>
      <c r="B118" s="6" t="s">
        <v>643</v>
      </c>
      <c r="C118" s="6"/>
      <c r="D118" s="7"/>
      <c r="E118" s="7"/>
      <c r="F118" s="7"/>
      <c r="G118" s="7"/>
      <c r="H118" s="7">
        <v>37</v>
      </c>
      <c r="I118" s="7"/>
      <c r="J118" s="7">
        <v>2</v>
      </c>
      <c r="K118" s="7"/>
      <c r="L118" s="7"/>
      <c r="M118" s="7"/>
      <c r="N118" s="7"/>
      <c r="O118" s="7"/>
      <c r="P118" s="7"/>
      <c r="Q118" s="7"/>
      <c r="R118" s="8">
        <v>39</v>
      </c>
    </row>
    <row r="119" spans="1:18" x14ac:dyDescent="0.25">
      <c r="A119" s="4"/>
      <c r="B119" s="6" t="s">
        <v>644</v>
      </c>
      <c r="C119" s="6"/>
      <c r="D119" s="7"/>
      <c r="E119" s="7"/>
      <c r="F119" s="7"/>
      <c r="G119" s="7"/>
      <c r="H119" s="7">
        <v>40.6</v>
      </c>
      <c r="I119" s="7"/>
      <c r="J119" s="7">
        <v>3</v>
      </c>
      <c r="K119" s="7"/>
      <c r="L119" s="7"/>
      <c r="M119" s="7">
        <v>6</v>
      </c>
      <c r="N119" s="7"/>
      <c r="O119" s="7"/>
      <c r="P119" s="7"/>
      <c r="Q119" s="7"/>
      <c r="R119" s="8">
        <v>49.6</v>
      </c>
    </row>
    <row r="120" spans="1:18" x14ac:dyDescent="0.25">
      <c r="A120" s="4"/>
      <c r="B120" s="6" t="s">
        <v>645</v>
      </c>
      <c r="C120" s="6"/>
      <c r="D120" s="7"/>
      <c r="E120" s="7"/>
      <c r="F120" s="7"/>
      <c r="G120" s="7"/>
      <c r="H120" s="7">
        <v>30</v>
      </c>
      <c r="I120" s="7"/>
      <c r="J120" s="7">
        <v>16</v>
      </c>
      <c r="K120" s="7"/>
      <c r="L120" s="7">
        <v>12</v>
      </c>
      <c r="M120" s="7"/>
      <c r="N120" s="7"/>
      <c r="O120" s="7"/>
      <c r="P120" s="7"/>
      <c r="Q120" s="7"/>
      <c r="R120" s="8">
        <v>58</v>
      </c>
    </row>
    <row r="121" spans="1:18" x14ac:dyDescent="0.25">
      <c r="A121" s="4"/>
      <c r="B121" s="6" t="s">
        <v>646</v>
      </c>
      <c r="C121" s="6"/>
      <c r="D121" s="7"/>
      <c r="E121" s="7"/>
      <c r="F121" s="7"/>
      <c r="G121" s="7"/>
      <c r="H121" s="7"/>
      <c r="I121" s="7"/>
      <c r="J121" s="7"/>
      <c r="K121" s="7"/>
      <c r="L121" s="7">
        <v>6</v>
      </c>
      <c r="M121" s="7"/>
      <c r="N121" s="7"/>
      <c r="O121" s="7"/>
      <c r="P121" s="7">
        <v>5</v>
      </c>
      <c r="Q121" s="7"/>
      <c r="R121" s="8">
        <v>11</v>
      </c>
    </row>
    <row r="122" spans="1:18" x14ac:dyDescent="0.25">
      <c r="A122" s="4"/>
      <c r="B122" s="6" t="s">
        <v>489</v>
      </c>
      <c r="C122" s="6"/>
      <c r="D122" s="7"/>
      <c r="E122" s="7"/>
      <c r="F122" s="7"/>
      <c r="G122" s="7"/>
      <c r="H122" s="7">
        <v>2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2</v>
      </c>
    </row>
    <row r="123" spans="1:18" x14ac:dyDescent="0.25">
      <c r="A123" s="4"/>
      <c r="B123" s="6" t="s">
        <v>647</v>
      </c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1</v>
      </c>
      <c r="R123" s="8">
        <v>1</v>
      </c>
    </row>
    <row r="124" spans="1:18" x14ac:dyDescent="0.25">
      <c r="A124" s="4"/>
      <c r="B124" s="6" t="s">
        <v>648</v>
      </c>
      <c r="C124" s="6"/>
      <c r="D124" s="7"/>
      <c r="E124" s="7">
        <v>1</v>
      </c>
      <c r="F124" s="7"/>
      <c r="G124" s="7"/>
      <c r="H124" s="7"/>
      <c r="I124" s="7"/>
      <c r="J124" s="7"/>
      <c r="K124" s="7"/>
      <c r="L124" s="7"/>
      <c r="M124" s="7"/>
      <c r="N124" s="7">
        <v>0.5</v>
      </c>
      <c r="O124" s="7"/>
      <c r="P124" s="7"/>
      <c r="Q124" s="7"/>
      <c r="R124" s="8">
        <v>1.5</v>
      </c>
    </row>
    <row r="125" spans="1:18" x14ac:dyDescent="0.25">
      <c r="A125" s="4"/>
      <c r="B125" s="6" t="s">
        <v>649</v>
      </c>
      <c r="C125" s="6">
        <v>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1</v>
      </c>
    </row>
    <row r="126" spans="1:18" x14ac:dyDescent="0.25">
      <c r="A126" s="4"/>
      <c r="B126" s="6" t="s">
        <v>650</v>
      </c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v>1</v>
      </c>
      <c r="O126" s="7"/>
      <c r="P126" s="7"/>
      <c r="Q126" s="7"/>
      <c r="R126" s="8">
        <v>1</v>
      </c>
    </row>
    <row r="127" spans="1:18" x14ac:dyDescent="0.25">
      <c r="A127" s="4"/>
      <c r="B127" s="6" t="s">
        <v>651</v>
      </c>
      <c r="C127" s="6"/>
      <c r="D127" s="7"/>
      <c r="E127" s="7"/>
      <c r="F127" s="7">
        <v>6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>
        <v>6</v>
      </c>
    </row>
    <row r="128" spans="1:18" x14ac:dyDescent="0.25">
      <c r="A128" s="4"/>
      <c r="B128" s="6" t="s">
        <v>652</v>
      </c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2</v>
      </c>
      <c r="R128" s="8">
        <v>2</v>
      </c>
    </row>
    <row r="129" spans="1:18" x14ac:dyDescent="0.25">
      <c r="A129" s="4"/>
      <c r="B129" s="6" t="s">
        <v>653</v>
      </c>
      <c r="C129" s="6"/>
      <c r="D129" s="7"/>
      <c r="E129" s="7"/>
      <c r="F129" s="7">
        <v>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3</v>
      </c>
      <c r="R129" s="8">
        <v>19</v>
      </c>
    </row>
    <row r="130" spans="1:18" x14ac:dyDescent="0.25">
      <c r="A130" s="4"/>
      <c r="B130" s="6" t="s">
        <v>654</v>
      </c>
      <c r="C130" s="6"/>
      <c r="D130" s="7"/>
      <c r="E130" s="7"/>
      <c r="F130" s="7"/>
      <c r="G130" s="7"/>
      <c r="H130" s="7">
        <v>4</v>
      </c>
      <c r="I130" s="7"/>
      <c r="J130" s="7"/>
      <c r="K130" s="7"/>
      <c r="L130" s="7"/>
      <c r="M130" s="7"/>
      <c r="N130" s="7"/>
      <c r="O130" s="7"/>
      <c r="P130" s="7"/>
      <c r="Q130" s="7">
        <v>4</v>
      </c>
      <c r="R130" s="8">
        <v>8</v>
      </c>
    </row>
    <row r="131" spans="1:18" x14ac:dyDescent="0.25">
      <c r="A131" s="4"/>
      <c r="B131" s="6" t="s">
        <v>655</v>
      </c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7</v>
      </c>
      <c r="R131" s="8">
        <v>7</v>
      </c>
    </row>
    <row r="132" spans="1:18" x14ac:dyDescent="0.25">
      <c r="A132" s="4"/>
      <c r="B132" s="6" t="s">
        <v>656</v>
      </c>
      <c r="C132" s="6"/>
      <c r="D132" s="7"/>
      <c r="E132" s="7"/>
      <c r="F132" s="7"/>
      <c r="G132" s="7"/>
      <c r="H132" s="7">
        <v>1</v>
      </c>
      <c r="I132" s="7"/>
      <c r="J132" s="7"/>
      <c r="K132" s="7"/>
      <c r="L132" s="7"/>
      <c r="M132" s="7"/>
      <c r="N132" s="7"/>
      <c r="O132" s="7"/>
      <c r="P132" s="7"/>
      <c r="Q132" s="7"/>
      <c r="R132" s="8">
        <v>1</v>
      </c>
    </row>
    <row r="133" spans="1:18" x14ac:dyDescent="0.25">
      <c r="A133" s="4"/>
      <c r="B133" s="6" t="s">
        <v>657</v>
      </c>
      <c r="C133" s="6">
        <v>1</v>
      </c>
      <c r="D133" s="7"/>
      <c r="E133" s="7"/>
      <c r="F133" s="7"/>
      <c r="G133" s="7"/>
      <c r="H133" s="7">
        <v>1</v>
      </c>
      <c r="I133" s="7"/>
      <c r="J133" s="7"/>
      <c r="K133" s="7"/>
      <c r="L133" s="7"/>
      <c r="M133" s="7"/>
      <c r="N133" s="7"/>
      <c r="O133" s="7"/>
      <c r="P133" s="7"/>
      <c r="Q133" s="7"/>
      <c r="R133" s="8">
        <v>2</v>
      </c>
    </row>
    <row r="134" spans="1:18" x14ac:dyDescent="0.25">
      <c r="A134" s="4"/>
      <c r="B134" s="6" t="s">
        <v>658</v>
      </c>
      <c r="C134" s="6">
        <v>4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>
        <v>4</v>
      </c>
    </row>
    <row r="135" spans="1:18" x14ac:dyDescent="0.25">
      <c r="A135" s="4"/>
      <c r="B135" s="6" t="s">
        <v>659</v>
      </c>
      <c r="C135" s="6"/>
      <c r="D135" s="7"/>
      <c r="E135" s="7"/>
      <c r="F135" s="7"/>
      <c r="G135" s="7"/>
      <c r="H135" s="7">
        <v>6</v>
      </c>
      <c r="I135" s="7"/>
      <c r="J135" s="7"/>
      <c r="K135" s="7"/>
      <c r="L135" s="7"/>
      <c r="M135" s="7"/>
      <c r="N135" s="7"/>
      <c r="O135" s="7"/>
      <c r="P135" s="7"/>
      <c r="Q135" s="7"/>
      <c r="R135" s="8">
        <v>6</v>
      </c>
    </row>
    <row r="136" spans="1:18" x14ac:dyDescent="0.25">
      <c r="A136" s="4"/>
      <c r="B136" s="6" t="s">
        <v>660</v>
      </c>
      <c r="C136" s="6"/>
      <c r="D136" s="7"/>
      <c r="E136" s="7"/>
      <c r="F136" s="7"/>
      <c r="G136" s="7"/>
      <c r="H136" s="7">
        <v>7</v>
      </c>
      <c r="I136" s="7">
        <v>1</v>
      </c>
      <c r="J136" s="7"/>
      <c r="K136" s="7"/>
      <c r="L136" s="7"/>
      <c r="M136" s="7"/>
      <c r="N136" s="7"/>
      <c r="O136" s="7"/>
      <c r="P136" s="7"/>
      <c r="Q136" s="7"/>
      <c r="R136" s="8">
        <v>8</v>
      </c>
    </row>
    <row r="137" spans="1:18" x14ac:dyDescent="0.25">
      <c r="A137" s="4"/>
      <c r="B137" s="6" t="s">
        <v>661</v>
      </c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>
        <v>3</v>
      </c>
      <c r="N137" s="7"/>
      <c r="O137" s="7"/>
      <c r="P137" s="7"/>
      <c r="Q137" s="7"/>
      <c r="R137" s="8">
        <v>3</v>
      </c>
    </row>
    <row r="138" spans="1:18" x14ac:dyDescent="0.25">
      <c r="A138" s="4"/>
      <c r="B138" s="6" t="s">
        <v>662</v>
      </c>
      <c r="C138" s="6"/>
      <c r="D138" s="7"/>
      <c r="E138" s="7"/>
      <c r="F138" s="7"/>
      <c r="G138" s="7"/>
      <c r="H138" s="7"/>
      <c r="I138" s="7"/>
      <c r="J138" s="7">
        <v>1</v>
      </c>
      <c r="K138" s="7"/>
      <c r="L138" s="7"/>
      <c r="M138" s="7"/>
      <c r="N138" s="7"/>
      <c r="O138" s="7"/>
      <c r="P138" s="7"/>
      <c r="Q138" s="7"/>
      <c r="R138" s="8">
        <v>1</v>
      </c>
    </row>
    <row r="139" spans="1:18" x14ac:dyDescent="0.25">
      <c r="A139" s="4"/>
      <c r="B139" s="6" t="s">
        <v>663</v>
      </c>
      <c r="C139" s="6"/>
      <c r="D139" s="7"/>
      <c r="E139" s="7"/>
      <c r="F139" s="7"/>
      <c r="G139" s="7"/>
      <c r="H139" s="7">
        <v>3</v>
      </c>
      <c r="I139" s="7"/>
      <c r="J139" s="7"/>
      <c r="K139" s="7"/>
      <c r="L139" s="7"/>
      <c r="M139" s="7"/>
      <c r="N139" s="7"/>
      <c r="O139" s="7"/>
      <c r="P139" s="7"/>
      <c r="Q139" s="7"/>
      <c r="R139" s="8">
        <v>3</v>
      </c>
    </row>
    <row r="140" spans="1:18" x14ac:dyDescent="0.25">
      <c r="A140" s="4"/>
      <c r="B140" s="6" t="s">
        <v>664</v>
      </c>
      <c r="C140" s="6">
        <v>4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>
        <v>4</v>
      </c>
    </row>
    <row r="141" spans="1:18" x14ac:dyDescent="0.25">
      <c r="A141" s="4"/>
      <c r="B141" s="6" t="s">
        <v>665</v>
      </c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>
        <v>6</v>
      </c>
      <c r="N141" s="7"/>
      <c r="O141" s="7"/>
      <c r="P141" s="7"/>
      <c r="Q141" s="7"/>
      <c r="R141" s="8">
        <v>6</v>
      </c>
    </row>
    <row r="142" spans="1:18" x14ac:dyDescent="0.25">
      <c r="A142" s="4"/>
      <c r="B142" s="6" t="s">
        <v>666</v>
      </c>
      <c r="C142" s="6"/>
      <c r="D142" s="7"/>
      <c r="E142" s="7"/>
      <c r="F142" s="7"/>
      <c r="G142" s="7"/>
      <c r="H142" s="7">
        <v>4</v>
      </c>
      <c r="I142" s="7"/>
      <c r="J142" s="7"/>
      <c r="K142" s="7"/>
      <c r="L142" s="7"/>
      <c r="M142" s="7">
        <v>7</v>
      </c>
      <c r="N142" s="7"/>
      <c r="O142" s="7"/>
      <c r="P142" s="7"/>
      <c r="Q142" s="7"/>
      <c r="R142" s="8">
        <v>11</v>
      </c>
    </row>
    <row r="143" spans="1:18" x14ac:dyDescent="0.25">
      <c r="A143" s="4"/>
      <c r="B143" s="6" t="s">
        <v>667</v>
      </c>
      <c r="C143" s="6"/>
      <c r="D143" s="7">
        <v>15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>
        <v>15</v>
      </c>
    </row>
    <row r="144" spans="1:18" x14ac:dyDescent="0.25">
      <c r="A144" s="4"/>
      <c r="B144" s="6" t="s">
        <v>668</v>
      </c>
      <c r="C144" s="6"/>
      <c r="D144" s="7">
        <v>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>
        <v>9</v>
      </c>
    </row>
    <row r="145" spans="1:18" x14ac:dyDescent="0.25">
      <c r="A145" s="4"/>
      <c r="B145" s="6" t="s">
        <v>669</v>
      </c>
      <c r="C145" s="6"/>
      <c r="D145" s="7">
        <v>5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>
        <v>5</v>
      </c>
    </row>
    <row r="146" spans="1:18" x14ac:dyDescent="0.25">
      <c r="A146" s="4"/>
      <c r="B146" s="5" t="s">
        <v>670</v>
      </c>
      <c r="C146" s="6"/>
      <c r="D146" s="7">
        <v>45</v>
      </c>
      <c r="E146" s="7"/>
      <c r="F146" s="7">
        <v>57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>
        <v>102</v>
      </c>
    </row>
    <row r="147" spans="1:18" x14ac:dyDescent="0.25">
      <c r="A147" s="4"/>
      <c r="B147" s="6" t="s">
        <v>671</v>
      </c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45</v>
      </c>
      <c r="R147" s="8">
        <v>45</v>
      </c>
    </row>
    <row r="148" spans="1:18" x14ac:dyDescent="0.25">
      <c r="A148" s="4"/>
      <c r="B148" s="6" t="s">
        <v>672</v>
      </c>
      <c r="C148" s="6"/>
      <c r="D148" s="7"/>
      <c r="E148" s="7"/>
      <c r="F148" s="7"/>
      <c r="G148" s="7">
        <v>14</v>
      </c>
      <c r="H148" s="7"/>
      <c r="I148" s="7"/>
      <c r="J148" s="7"/>
      <c r="K148" s="7"/>
      <c r="L148" s="7"/>
      <c r="M148" s="7"/>
      <c r="N148" s="7"/>
      <c r="O148" s="7"/>
      <c r="P148" s="7"/>
      <c r="Q148" s="7">
        <v>36</v>
      </c>
      <c r="R148" s="8">
        <v>50</v>
      </c>
    </row>
    <row r="149" spans="1:18" x14ac:dyDescent="0.25">
      <c r="A149" s="4"/>
      <c r="B149" s="6" t="s">
        <v>673</v>
      </c>
      <c r="C149" s="6"/>
      <c r="D149" s="7"/>
      <c r="E149" s="7"/>
      <c r="F149" s="7"/>
      <c r="G149" s="7"/>
      <c r="H149" s="7">
        <v>10</v>
      </c>
      <c r="I149" s="7"/>
      <c r="J149" s="7"/>
      <c r="K149" s="7"/>
      <c r="L149" s="7"/>
      <c r="M149" s="7"/>
      <c r="N149" s="7"/>
      <c r="O149" s="7"/>
      <c r="P149" s="7"/>
      <c r="Q149" s="7"/>
      <c r="R149" s="8">
        <v>10</v>
      </c>
    </row>
    <row r="150" spans="1:18" x14ac:dyDescent="0.25">
      <c r="A150" s="4"/>
      <c r="B150" s="6" t="s">
        <v>674</v>
      </c>
      <c r="C150" s="6"/>
      <c r="D150" s="7"/>
      <c r="E150" s="7"/>
      <c r="F150" s="7">
        <v>28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9</v>
      </c>
      <c r="R150" s="8">
        <v>37</v>
      </c>
    </row>
    <row r="151" spans="1:18" x14ac:dyDescent="0.25">
      <c r="A151" s="4"/>
      <c r="B151" s="6" t="s">
        <v>675</v>
      </c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20</v>
      </c>
      <c r="R151" s="8">
        <v>20</v>
      </c>
    </row>
    <row r="152" spans="1:18" x14ac:dyDescent="0.25">
      <c r="A152" s="4"/>
      <c r="B152" s="6" t="s">
        <v>676</v>
      </c>
      <c r="C152" s="6"/>
      <c r="D152" s="7"/>
      <c r="E152" s="7"/>
      <c r="F152" s="7"/>
      <c r="G152" s="7"/>
      <c r="H152" s="7">
        <v>8</v>
      </c>
      <c r="I152" s="7"/>
      <c r="J152" s="7"/>
      <c r="K152" s="7"/>
      <c r="L152" s="7"/>
      <c r="M152" s="7"/>
      <c r="N152" s="7"/>
      <c r="O152" s="7"/>
      <c r="P152" s="7"/>
      <c r="Q152" s="7">
        <v>15</v>
      </c>
      <c r="R152" s="8">
        <v>23</v>
      </c>
    </row>
    <row r="153" spans="1:18" x14ac:dyDescent="0.25">
      <c r="A153" s="4"/>
      <c r="B153" s="6" t="s">
        <v>677</v>
      </c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13</v>
      </c>
      <c r="R153" s="8">
        <v>13</v>
      </c>
    </row>
    <row r="154" spans="1:18" x14ac:dyDescent="0.25">
      <c r="A154" s="4"/>
      <c r="B154" s="15"/>
      <c r="C154" s="1">
        <v>1017.5</v>
      </c>
      <c r="D154" s="2">
        <v>95.5</v>
      </c>
      <c r="E154" s="2">
        <v>94.5</v>
      </c>
      <c r="F154" s="2">
        <v>177</v>
      </c>
      <c r="G154" s="2">
        <v>27</v>
      </c>
      <c r="H154" s="2">
        <v>1486.1</v>
      </c>
      <c r="I154" s="2">
        <v>45</v>
      </c>
      <c r="J154" s="2">
        <v>195</v>
      </c>
      <c r="K154" s="2">
        <v>65</v>
      </c>
      <c r="L154" s="2">
        <v>308.5</v>
      </c>
      <c r="M154" s="2">
        <v>120</v>
      </c>
      <c r="N154" s="2">
        <v>3</v>
      </c>
      <c r="O154" s="2">
        <v>4</v>
      </c>
      <c r="P154" s="2">
        <v>243.5</v>
      </c>
      <c r="Q154" s="2">
        <v>296</v>
      </c>
      <c r="R154" s="3">
        <v>4177.6000000000004</v>
      </c>
    </row>
    <row r="155" spans="1:18" x14ac:dyDescent="0.25">
      <c r="A155" s="4"/>
      <c r="B155" s="1" t="s">
        <v>362</v>
      </c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2</v>
      </c>
      <c r="P155" s="2"/>
      <c r="Q155" s="2"/>
      <c r="R155" s="3">
        <v>2</v>
      </c>
    </row>
    <row r="156" spans="1:18" x14ac:dyDescent="0.25">
      <c r="A156" s="4"/>
      <c r="B156" s="15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>
        <v>2</v>
      </c>
      <c r="P156" s="2"/>
      <c r="Q156" s="2"/>
      <c r="R156" s="3">
        <v>2</v>
      </c>
    </row>
    <row r="157" spans="1:18" x14ac:dyDescent="0.25">
      <c r="A157" s="1" t="s">
        <v>678</v>
      </c>
      <c r="B157" s="15"/>
      <c r="C157" s="1">
        <v>1017.5</v>
      </c>
      <c r="D157" s="2">
        <v>95.5</v>
      </c>
      <c r="E157" s="2">
        <v>94.5</v>
      </c>
      <c r="F157" s="2">
        <v>177</v>
      </c>
      <c r="G157" s="2">
        <v>27</v>
      </c>
      <c r="H157" s="2">
        <v>1486.1</v>
      </c>
      <c r="I157" s="2">
        <v>45</v>
      </c>
      <c r="J157" s="2">
        <v>195</v>
      </c>
      <c r="K157" s="2">
        <v>65</v>
      </c>
      <c r="L157" s="2">
        <v>308.5</v>
      </c>
      <c r="M157" s="2">
        <v>120</v>
      </c>
      <c r="N157" s="2">
        <v>3</v>
      </c>
      <c r="O157" s="2">
        <v>6</v>
      </c>
      <c r="P157" s="2">
        <v>243.5</v>
      </c>
      <c r="Q157" s="2">
        <v>296</v>
      </c>
      <c r="R157" s="3">
        <v>4179.6000000000004</v>
      </c>
    </row>
    <row r="158" spans="1:18" x14ac:dyDescent="0.25">
      <c r="A158" s="9" t="s">
        <v>18</v>
      </c>
      <c r="B158" s="10"/>
      <c r="C158" s="9">
        <v>1017.5</v>
      </c>
      <c r="D158" s="11">
        <v>95.5</v>
      </c>
      <c r="E158" s="11">
        <v>94.5</v>
      </c>
      <c r="F158" s="11">
        <v>177</v>
      </c>
      <c r="G158" s="11">
        <v>27</v>
      </c>
      <c r="H158" s="11">
        <v>1486.1</v>
      </c>
      <c r="I158" s="11">
        <v>45</v>
      </c>
      <c r="J158" s="11">
        <v>195</v>
      </c>
      <c r="K158" s="11">
        <v>65</v>
      </c>
      <c r="L158" s="11">
        <v>308.5</v>
      </c>
      <c r="M158" s="11">
        <v>120</v>
      </c>
      <c r="N158" s="11">
        <v>3</v>
      </c>
      <c r="O158" s="11">
        <v>6</v>
      </c>
      <c r="P158" s="11">
        <v>243.5</v>
      </c>
      <c r="Q158" s="11">
        <v>296</v>
      </c>
      <c r="R158" s="12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 x14ac:dyDescent="0.25"/>
  <cols>
    <col min="2" max="2" width="44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x14ac:dyDescent="0.25">
      <c r="A2" s="1" t="s">
        <v>679</v>
      </c>
      <c r="B2" s="1" t="s">
        <v>680</v>
      </c>
      <c r="C2" s="1"/>
      <c r="D2" s="2"/>
      <c r="E2" s="2"/>
      <c r="F2" s="2"/>
      <c r="G2" s="2"/>
      <c r="H2" s="2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3">
        <v>8</v>
      </c>
    </row>
    <row r="3" spans="1:19" x14ac:dyDescent="0.25">
      <c r="A3" s="4"/>
      <c r="B3" s="5" t="s">
        <v>681</v>
      </c>
      <c r="C3" s="6">
        <v>117</v>
      </c>
      <c r="D3" s="7">
        <v>14</v>
      </c>
      <c r="E3" s="7">
        <v>31</v>
      </c>
      <c r="F3" s="7">
        <v>26</v>
      </c>
      <c r="G3" s="7">
        <v>99.5</v>
      </c>
      <c r="H3" s="7">
        <v>186.8</v>
      </c>
      <c r="I3" s="7">
        <v>12</v>
      </c>
      <c r="J3" s="7">
        <v>12</v>
      </c>
      <c r="K3" s="7">
        <v>13</v>
      </c>
      <c r="L3" s="7">
        <v>0.5</v>
      </c>
      <c r="M3" s="7"/>
      <c r="N3" s="7">
        <v>5.5</v>
      </c>
      <c r="O3" s="7">
        <v>21</v>
      </c>
      <c r="P3" s="7"/>
      <c r="Q3" s="7"/>
      <c r="R3" s="7">
        <v>49</v>
      </c>
      <c r="S3" s="8">
        <v>587.29999999999995</v>
      </c>
    </row>
    <row r="4" spans="1:19" x14ac:dyDescent="0.25">
      <c r="A4" s="4"/>
      <c r="B4" s="6" t="s">
        <v>682</v>
      </c>
      <c r="C4" s="6"/>
      <c r="D4" s="7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>
        <v>1</v>
      </c>
    </row>
    <row r="5" spans="1:19" x14ac:dyDescent="0.25">
      <c r="A5" s="4"/>
      <c r="B5" s="6" t="s">
        <v>683</v>
      </c>
      <c r="C5" s="6"/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8">
        <v>1</v>
      </c>
    </row>
    <row r="6" spans="1:19" x14ac:dyDescent="0.25">
      <c r="A6" s="4"/>
      <c r="B6" s="6" t="s">
        <v>684</v>
      </c>
      <c r="C6" s="6"/>
      <c r="D6" s="7"/>
      <c r="E6" s="7"/>
      <c r="F6" s="7"/>
      <c r="G6" s="7"/>
      <c r="H6" s="7"/>
      <c r="I6" s="7">
        <v>1</v>
      </c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 x14ac:dyDescent="0.25">
      <c r="A7" s="4"/>
      <c r="B7" s="6" t="s">
        <v>685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8">
        <v>1</v>
      </c>
    </row>
    <row r="8" spans="1:19" x14ac:dyDescent="0.25">
      <c r="A8" s="4"/>
      <c r="B8" s="6" t="s">
        <v>686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8">
        <v>1</v>
      </c>
    </row>
    <row r="9" spans="1:19" x14ac:dyDescent="0.25">
      <c r="A9" s="4"/>
      <c r="B9" s="6" t="s">
        <v>687</v>
      </c>
      <c r="C9" s="6"/>
      <c r="D9" s="7"/>
      <c r="E9" s="7"/>
      <c r="F9" s="7"/>
      <c r="G9" s="7"/>
      <c r="H9" s="7">
        <v>13</v>
      </c>
      <c r="I9" s="7"/>
      <c r="J9" s="7"/>
      <c r="K9" s="7"/>
      <c r="L9" s="7"/>
      <c r="M9" s="7"/>
      <c r="N9" s="7"/>
      <c r="O9" s="7"/>
      <c r="P9" s="7">
        <v>31.7</v>
      </c>
      <c r="Q9" s="7"/>
      <c r="R9" s="7">
        <v>9</v>
      </c>
      <c r="S9" s="8">
        <v>53.7</v>
      </c>
    </row>
    <row r="10" spans="1:19" x14ac:dyDescent="0.25">
      <c r="A10" s="4"/>
      <c r="B10" s="6" t="s">
        <v>688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8">
        <v>1</v>
      </c>
    </row>
    <row r="11" spans="1:19" x14ac:dyDescent="0.25">
      <c r="A11" s="4"/>
      <c r="B11" s="5" t="s">
        <v>689</v>
      </c>
      <c r="C11" s="6"/>
      <c r="D11" s="7"/>
      <c r="E11" s="7"/>
      <c r="F11" s="7"/>
      <c r="G11" s="7">
        <v>18</v>
      </c>
      <c r="H11" s="7"/>
      <c r="I11" s="7"/>
      <c r="J11" s="7"/>
      <c r="K11" s="7"/>
      <c r="L11" s="7"/>
      <c r="M11" s="7">
        <v>2</v>
      </c>
      <c r="N11" s="7"/>
      <c r="O11" s="7"/>
      <c r="P11" s="7"/>
      <c r="Q11" s="7"/>
      <c r="R11" s="7"/>
      <c r="S11" s="8">
        <v>20</v>
      </c>
    </row>
    <row r="12" spans="1:19" x14ac:dyDescent="0.25">
      <c r="A12" s="4"/>
      <c r="B12" s="6" t="s">
        <v>690</v>
      </c>
      <c r="C12" s="6">
        <v>5</v>
      </c>
      <c r="D12" s="7"/>
      <c r="E12" s="7"/>
      <c r="F12" s="7"/>
      <c r="G12" s="7"/>
      <c r="H12" s="7"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10</v>
      </c>
    </row>
    <row r="13" spans="1:19" x14ac:dyDescent="0.25">
      <c r="A13" s="4"/>
      <c r="B13" s="6" t="s">
        <v>691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2</v>
      </c>
      <c r="S13" s="8">
        <v>2</v>
      </c>
    </row>
    <row r="14" spans="1:19" x14ac:dyDescent="0.25">
      <c r="A14" s="4"/>
      <c r="B14" s="6" t="s">
        <v>692</v>
      </c>
      <c r="C14" s="6"/>
      <c r="D14" s="7"/>
      <c r="E14" s="7"/>
      <c r="F14" s="7"/>
      <c r="G14" s="7">
        <v>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4</v>
      </c>
    </row>
    <row r="15" spans="1:19" x14ac:dyDescent="0.25">
      <c r="A15" s="4"/>
      <c r="B15" s="6" t="s">
        <v>693</v>
      </c>
      <c r="C15" s="6"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2</v>
      </c>
    </row>
    <row r="16" spans="1:19" x14ac:dyDescent="0.25">
      <c r="A16" s="4"/>
      <c r="B16" s="6" t="s">
        <v>694</v>
      </c>
      <c r="C16" s="6"/>
      <c r="D16" s="7"/>
      <c r="E16" s="7"/>
      <c r="F16" s="7"/>
      <c r="G16" s="7"/>
      <c r="H16" s="7">
        <v>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2</v>
      </c>
    </row>
    <row r="17" spans="1:19" x14ac:dyDescent="0.25">
      <c r="A17" s="4"/>
      <c r="B17" s="5" t="s">
        <v>695</v>
      </c>
      <c r="C17" s="6"/>
      <c r="D17" s="7"/>
      <c r="E17" s="7"/>
      <c r="F17" s="7">
        <v>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>
        <v>6</v>
      </c>
    </row>
    <row r="18" spans="1:19" x14ac:dyDescent="0.25">
      <c r="A18" s="4"/>
      <c r="B18" s="6" t="s">
        <v>696</v>
      </c>
      <c r="C18" s="6">
        <v>26</v>
      </c>
      <c r="D18" s="7"/>
      <c r="E18" s="7"/>
      <c r="F18" s="7"/>
      <c r="G18" s="7"/>
      <c r="H18" s="7">
        <v>49</v>
      </c>
      <c r="I18" s="7">
        <v>2</v>
      </c>
      <c r="J18" s="7"/>
      <c r="K18" s="7">
        <v>2</v>
      </c>
      <c r="L18" s="7">
        <v>1</v>
      </c>
      <c r="M18" s="7">
        <v>5</v>
      </c>
      <c r="N18" s="7"/>
      <c r="O18" s="7"/>
      <c r="P18" s="7">
        <v>4</v>
      </c>
      <c r="Q18" s="7"/>
      <c r="R18" s="7">
        <v>6</v>
      </c>
      <c r="S18" s="8">
        <v>95</v>
      </c>
    </row>
    <row r="19" spans="1:19" x14ac:dyDescent="0.25">
      <c r="A19" s="4"/>
      <c r="B19" s="6" t="s">
        <v>697</v>
      </c>
      <c r="C19" s="6"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>
        <v>6</v>
      </c>
    </row>
    <row r="20" spans="1:19" x14ac:dyDescent="0.25">
      <c r="A20" s="4"/>
      <c r="B20" s="6" t="s">
        <v>698</v>
      </c>
      <c r="C20" s="6">
        <v>5</v>
      </c>
      <c r="D20" s="7"/>
      <c r="E20" s="7"/>
      <c r="F20" s="7"/>
      <c r="G20" s="7"/>
      <c r="H20" s="7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8">
        <v>6</v>
      </c>
    </row>
    <row r="21" spans="1:19" x14ac:dyDescent="0.25">
      <c r="A21" s="4"/>
      <c r="B21" s="6" t="s">
        <v>699</v>
      </c>
      <c r="C21" s="6">
        <v>4</v>
      </c>
      <c r="D21" s="7">
        <v>2</v>
      </c>
      <c r="E21" s="7"/>
      <c r="F21" s="7">
        <v>4</v>
      </c>
      <c r="G21" s="7"/>
      <c r="H21" s="7">
        <v>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8">
        <v>17</v>
      </c>
    </row>
    <row r="22" spans="1:19" x14ac:dyDescent="0.25">
      <c r="A22" s="4"/>
      <c r="B22" s="6" t="s">
        <v>700</v>
      </c>
      <c r="C22" s="6">
        <v>12</v>
      </c>
      <c r="D22" s="7"/>
      <c r="E22" s="7"/>
      <c r="F22" s="7"/>
      <c r="G22" s="7"/>
      <c r="H22" s="7">
        <v>37.5</v>
      </c>
      <c r="I22" s="7">
        <v>1</v>
      </c>
      <c r="J22" s="7"/>
      <c r="K22" s="7">
        <v>2</v>
      </c>
      <c r="L22" s="7">
        <v>2</v>
      </c>
      <c r="M22" s="7"/>
      <c r="N22" s="7"/>
      <c r="O22" s="7"/>
      <c r="P22" s="7"/>
      <c r="Q22" s="7"/>
      <c r="R22" s="7"/>
      <c r="S22" s="8">
        <v>54.5</v>
      </c>
    </row>
    <row r="23" spans="1:19" x14ac:dyDescent="0.25">
      <c r="A23" s="4"/>
      <c r="B23" s="6" t="s">
        <v>701</v>
      </c>
      <c r="C23" s="6"/>
      <c r="D23" s="7"/>
      <c r="E23" s="7">
        <v>4</v>
      </c>
      <c r="F23" s="7"/>
      <c r="G23" s="7"/>
      <c r="H23" s="7"/>
      <c r="I23" s="7"/>
      <c r="J23" s="7"/>
      <c r="K23" s="7"/>
      <c r="L23" s="7"/>
      <c r="M23" s="7"/>
      <c r="N23" s="7">
        <v>5</v>
      </c>
      <c r="O23" s="7"/>
      <c r="P23" s="7"/>
      <c r="Q23" s="7"/>
      <c r="R23" s="7"/>
      <c r="S23" s="8">
        <v>9</v>
      </c>
    </row>
    <row r="24" spans="1:19" x14ac:dyDescent="0.25">
      <c r="A24" s="4"/>
      <c r="B24" s="6" t="s">
        <v>702</v>
      </c>
      <c r="C24" s="6"/>
      <c r="D24" s="7">
        <v>4</v>
      </c>
      <c r="E24" s="7"/>
      <c r="F24" s="7"/>
      <c r="G24" s="7">
        <v>88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>
        <v>92</v>
      </c>
    </row>
    <row r="25" spans="1:19" x14ac:dyDescent="0.25">
      <c r="A25" s="4"/>
      <c r="B25" s="6" t="s">
        <v>703</v>
      </c>
      <c r="C25" s="6">
        <v>11</v>
      </c>
      <c r="D25" s="7"/>
      <c r="E25" s="7"/>
      <c r="F25" s="7">
        <v>4</v>
      </c>
      <c r="G25" s="7"/>
      <c r="H25" s="7">
        <v>4</v>
      </c>
      <c r="I25" s="7"/>
      <c r="J25" s="7"/>
      <c r="K25" s="7">
        <v>3</v>
      </c>
      <c r="L25" s="7"/>
      <c r="M25" s="7">
        <v>1</v>
      </c>
      <c r="N25" s="7"/>
      <c r="O25" s="7"/>
      <c r="P25" s="7"/>
      <c r="Q25" s="7"/>
      <c r="R25" s="7">
        <v>19</v>
      </c>
      <c r="S25" s="8">
        <v>42</v>
      </c>
    </row>
    <row r="26" spans="1:19" x14ac:dyDescent="0.25">
      <c r="A26" s="4"/>
      <c r="B26" s="5" t="s">
        <v>704</v>
      </c>
      <c r="C26" s="6"/>
      <c r="D26" s="7">
        <v>3</v>
      </c>
      <c r="E26" s="7"/>
      <c r="F26" s="7"/>
      <c r="G26" s="7"/>
      <c r="H26" s="7"/>
      <c r="I26" s="7"/>
      <c r="J26" s="7"/>
      <c r="K26" s="7"/>
      <c r="L26" s="7"/>
      <c r="M26" s="7">
        <v>1</v>
      </c>
      <c r="N26" s="7"/>
      <c r="O26" s="7"/>
      <c r="P26" s="7"/>
      <c r="Q26" s="7"/>
      <c r="R26" s="7"/>
      <c r="S26" s="8">
        <v>4</v>
      </c>
    </row>
    <row r="27" spans="1:19" x14ac:dyDescent="0.25">
      <c r="A27" s="4"/>
      <c r="B27" s="6" t="s">
        <v>705</v>
      </c>
      <c r="C27" s="6">
        <v>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6.8</v>
      </c>
      <c r="R27" s="7">
        <v>1</v>
      </c>
      <c r="S27" s="8">
        <v>9.8000000000000007</v>
      </c>
    </row>
    <row r="28" spans="1:19" x14ac:dyDescent="0.25">
      <c r="A28" s="4"/>
      <c r="B28" s="6" t="s">
        <v>706</v>
      </c>
      <c r="C28" s="6">
        <v>12.5</v>
      </c>
      <c r="D28" s="7"/>
      <c r="E28" s="7"/>
      <c r="F28" s="7">
        <v>8</v>
      </c>
      <c r="G28" s="7"/>
      <c r="H28" s="7">
        <v>5.75</v>
      </c>
      <c r="I28" s="7">
        <v>1</v>
      </c>
      <c r="J28" s="7"/>
      <c r="K28" s="7"/>
      <c r="L28" s="7"/>
      <c r="M28" s="7"/>
      <c r="N28" s="7"/>
      <c r="O28" s="7"/>
      <c r="P28" s="7"/>
      <c r="Q28" s="7"/>
      <c r="R28" s="7"/>
      <c r="S28" s="8">
        <v>27.25</v>
      </c>
    </row>
    <row r="29" spans="1:19" x14ac:dyDescent="0.25">
      <c r="A29" s="4"/>
      <c r="B29" s="6" t="s">
        <v>707</v>
      </c>
      <c r="C29" s="6">
        <v>3</v>
      </c>
      <c r="D29" s="7"/>
      <c r="E29" s="7"/>
      <c r="F29" s="7">
        <v>6</v>
      </c>
      <c r="G29" s="7">
        <v>20.5</v>
      </c>
      <c r="H29" s="7">
        <v>2</v>
      </c>
      <c r="I29" s="7"/>
      <c r="J29" s="7"/>
      <c r="K29" s="7"/>
      <c r="L29" s="7"/>
      <c r="M29" s="7"/>
      <c r="N29" s="7">
        <v>3</v>
      </c>
      <c r="O29" s="7"/>
      <c r="P29" s="7"/>
      <c r="Q29" s="7"/>
      <c r="R29" s="7"/>
      <c r="S29" s="8">
        <v>34.5</v>
      </c>
    </row>
    <row r="30" spans="1:19" x14ac:dyDescent="0.25">
      <c r="A30" s="4"/>
      <c r="B30" s="6" t="s">
        <v>708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0.5</v>
      </c>
      <c r="P30" s="7"/>
      <c r="Q30" s="7"/>
      <c r="R30" s="7"/>
      <c r="S30" s="8">
        <v>0.5</v>
      </c>
    </row>
    <row r="31" spans="1:19" x14ac:dyDescent="0.25">
      <c r="A31" s="9" t="s">
        <v>18</v>
      </c>
      <c r="B31" s="10"/>
      <c r="C31" s="9">
        <v>205.5</v>
      </c>
      <c r="D31" s="11">
        <v>24</v>
      </c>
      <c r="E31" s="11">
        <v>35</v>
      </c>
      <c r="F31" s="11">
        <v>54</v>
      </c>
      <c r="G31" s="11">
        <v>230</v>
      </c>
      <c r="H31" s="11">
        <v>321.05</v>
      </c>
      <c r="I31" s="11">
        <v>17</v>
      </c>
      <c r="J31" s="11">
        <v>12</v>
      </c>
      <c r="K31" s="11">
        <v>20</v>
      </c>
      <c r="L31" s="11">
        <v>4.5</v>
      </c>
      <c r="M31" s="11">
        <v>9</v>
      </c>
      <c r="N31" s="11">
        <v>14.5</v>
      </c>
      <c r="O31" s="11">
        <v>21.5</v>
      </c>
      <c r="P31" s="11">
        <v>36.700000000000003</v>
      </c>
      <c r="Q31" s="11">
        <v>6.8</v>
      </c>
      <c r="R31" s="11">
        <v>87</v>
      </c>
      <c r="S31" s="12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A2" sqref="A2"/>
    </sheetView>
  </sheetViews>
  <sheetFormatPr defaultRowHeight="15" x14ac:dyDescent="0.25"/>
  <cols>
    <col min="1" max="1" width="61.28515625" customWidth="1"/>
    <col min="2" max="2" width="3.140625" customWidth="1"/>
    <col min="3" max="3" width="2.42578125" customWidth="1"/>
    <col min="4" max="4" width="25.7109375" customWidth="1"/>
  </cols>
  <sheetData>
    <row r="1" spans="1:6" x14ac:dyDescent="0.25">
      <c r="A1" t="s">
        <v>709</v>
      </c>
    </row>
    <row r="2" spans="1:6" x14ac:dyDescent="0.25">
      <c r="A2" s="16" t="str">
        <f>HYPERLINK("https://rabota.by/resume/c6f3769c00096cb9a60013a3fa46686a6e654f","Главный бухгалтер")</f>
        <v>Главный бухгалтер</v>
      </c>
      <c r="D2" t="s">
        <v>710</v>
      </c>
    </row>
    <row r="3" spans="1:6" x14ac:dyDescent="0.25">
      <c r="A3" s="16" t="str">
        <f>HYPERLINK("https://rabota.by/resume/a036ce040001419a5c0013a3fa4d3873727267","Бухгалтер, экономист, менеджер")</f>
        <v>Бухгалтер, экономист, менеджер</v>
      </c>
      <c r="D3" s="16" t="str">
        <f>HYPERLINK("https://rabota.by/vacancy/51266442","Бухгалтер")</f>
        <v>Бухгалтер</v>
      </c>
      <c r="F3" t="s">
        <v>725</v>
      </c>
    </row>
    <row r="4" spans="1:6" x14ac:dyDescent="0.25">
      <c r="A4" s="16" t="str">
        <f>HYPERLINK("https://rabota.by/resume/9be5c6be0007cc7d730013a3fa594379797042","Бухгалтер")</f>
        <v>Бухгалтер</v>
      </c>
      <c r="D4" s="16" t="str">
        <f>HYPERLINK("https://rabota.by/vacancy/51109040","Бухгалтер-операционист")</f>
        <v>Бухгалтер-операционист</v>
      </c>
      <c r="F4" t="s">
        <v>715</v>
      </c>
    </row>
    <row r="5" spans="1:6" x14ac:dyDescent="0.25">
      <c r="A5" s="16" t="str">
        <f>HYPERLINK("https://rabota.by/resume/8407e14f0006134b350013a3fa494d65326447","Бухгалтер")</f>
        <v>Бухгалтер</v>
      </c>
      <c r="D5" s="16" t="str">
        <f>HYPERLINK("https://rabota.by/vacancy/51100394","Ведущий бухгалтер")</f>
        <v>Ведущий бухгалтер</v>
      </c>
      <c r="F5" t="s">
        <v>721</v>
      </c>
    </row>
    <row r="6" spans="1:6" x14ac:dyDescent="0.25">
      <c r="A6" s="16" t="str">
        <f>HYPERLINK("https://rabota.by/resume/f1fbf6350008de24ed0013a3fa4c336946675a","Бухгалтер")</f>
        <v>Бухгалтер</v>
      </c>
      <c r="D6" s="16" t="str">
        <f>HYPERLINK("https://rabota.by/vacancy/50984298","Бухгалтер")</f>
        <v>Бухгалтер</v>
      </c>
      <c r="F6" t="s">
        <v>722</v>
      </c>
    </row>
    <row r="7" spans="1:6" x14ac:dyDescent="0.25">
      <c r="A7" s="16" t="str">
        <f>HYPERLINK("https://rabota.by/resume/792f60ab00098593c90013a3fa52336f785a49","Бухгалтер")</f>
        <v>Бухгалтер</v>
      </c>
      <c r="D7" s="16" t="str">
        <f>HYPERLINK("https://rabota.by/vacancy/50433440","Главный бухгалтер")</f>
        <v>Главный бухгалтер</v>
      </c>
    </row>
    <row r="8" spans="1:6" x14ac:dyDescent="0.25">
      <c r="A8" s="16" t="str">
        <f>HYPERLINK("https://rabota.by/resume/d280f2d800079013af0013a3fa6774524b6934","Бухгалтер")</f>
        <v>Бухгалтер</v>
      </c>
      <c r="D8" s="16" t="str">
        <f>HYPERLINK("https://rabota.by/vacancy/50782845","Главный бухгалтер")</f>
        <v>Главный бухгалтер</v>
      </c>
      <c r="F8" t="s">
        <v>720</v>
      </c>
    </row>
    <row r="9" spans="1:6" x14ac:dyDescent="0.25">
      <c r="A9" s="16" t="str">
        <f>HYPERLINK("https://rabota.by/resume/7bf356b50003e002670013a3fa65524c566b42","Бухгалтер-экономист")</f>
        <v>Бухгалтер-экономист</v>
      </c>
      <c r="D9" s="16" t="str">
        <f>HYPERLINK("https://rabota.by/vacancy/50782847","Бухгалтер")</f>
        <v>Бухгалтер</v>
      </c>
    </row>
    <row r="10" spans="1:6" x14ac:dyDescent="0.25">
      <c r="A10" s="16" t="str">
        <f>HYPERLINK("https://rabota.by/resume/25e73f0c00074646f10013a3fa314a36617645","Главный бухгалтер, заместитель главного бухгалтера, ведущий бухгалтер, единственный бухгалтер")</f>
        <v>Главный бухгалтер, заместитель главного бухгалтера, ведущий бухгалтер, единственный бухгалтер</v>
      </c>
      <c r="D10" s="16" t="str">
        <f>HYPERLINK("https://rabota.by/vacancy/50810324","Бухгалтер")</f>
        <v>Бухгалтер</v>
      </c>
      <c r="F10" t="s">
        <v>726</v>
      </c>
    </row>
    <row r="11" spans="1:6" x14ac:dyDescent="0.25">
      <c r="A11" s="16" t="str">
        <f>HYPERLINK("https://rabota.by/resume/0497ab22000384512c0013a3fa6e7a74474c65","Экономист-бухгалтер")</f>
        <v>Экономист-бухгалтер</v>
      </c>
      <c r="D11" s="16" t="str">
        <f>HYPERLINK("https://rabota.by/vacancy/50782446","Бухгалтер")</f>
        <v>Бухгалтер</v>
      </c>
    </row>
    <row r="12" spans="1:6" x14ac:dyDescent="0.25">
      <c r="A12" s="16" t="str">
        <f>HYPERLINK("https://rabota.by/resume/22afba4e00023bf21f0013a3fa34353530766d","Бухгалтер-экономист.... Торговый агент-торговый представитель")</f>
        <v>Бухгалтер-экономист.... Торговый агент-торговый представитель</v>
      </c>
      <c r="D12" s="16" t="str">
        <f>HYPERLINK("https://rabota.by/vacancy/47602752","Бухгалтер-калькулятор")</f>
        <v>Бухгалтер-калькулятор</v>
      </c>
      <c r="F12" t="s">
        <v>727</v>
      </c>
    </row>
    <row r="13" spans="1:6" x14ac:dyDescent="0.25">
      <c r="A13" s="16" t="str">
        <f>HYPERLINK("https://rabota.by/resume/dc19d7d4000701afb60013a3fa695a78753249","Бухгалтер")</f>
        <v>Бухгалтер</v>
      </c>
      <c r="D13" s="16" t="str">
        <f>HYPERLINK("https://rabota.by/vacancy/50812065","Специалист по сопровождению программного обеспечения/бухгалтер")</f>
        <v>Специалист по сопровождению программного обеспечения/бухгалтер</v>
      </c>
    </row>
    <row r="14" spans="1:6" x14ac:dyDescent="0.25">
      <c r="A14" s="16" t="str">
        <f>HYPERLINK("https://rabota.by/resume/df1049f40001d1daed0013a3fa4f3371534a56","Бухгалтер/Специалист по работе с клиентами")</f>
        <v>Бухгалтер/Специалист по работе с клиентами</v>
      </c>
      <c r="D14" s="16" t="str">
        <f>HYPERLINK("https://rabota.by/vacancy/51275181","Бухгалтер")</f>
        <v>Бухгалтер</v>
      </c>
      <c r="F14" t="s">
        <v>726</v>
      </c>
    </row>
    <row r="15" spans="1:6" x14ac:dyDescent="0.25">
      <c r="A15" s="16" t="str">
        <f>HYPERLINK("https://rabota.by/resume/b72081020005e0861f0013a3fa653553704442","Бухгалтер, экономист, администратор")</f>
        <v>Бухгалтер, экономист, администратор</v>
      </c>
      <c r="D15" s="16" t="str">
        <f>HYPERLINK("https://rabota.by/vacancy/51313234","Главный бухгалтер")</f>
        <v>Главный бухгалтер</v>
      </c>
      <c r="F15" t="s">
        <v>711</v>
      </c>
    </row>
    <row r="16" spans="1:6" x14ac:dyDescent="0.25">
      <c r="A16" s="16" t="str">
        <f>HYPERLINK("https://rabota.by/resume/42992996000888e3990013a3fa664b61375546","Бухгалтер-экономист")</f>
        <v>Бухгалтер-экономист</v>
      </c>
      <c r="D16" s="16" t="str">
        <f>HYPERLINK("https://rabota.by/vacancy/51146194","Помощник бухгалтера-бухгалтер")</f>
        <v>Помощник бухгалтера-бухгалтер</v>
      </c>
    </row>
    <row r="17" spans="1:6" x14ac:dyDescent="0.25">
      <c r="A17" s="16" t="str">
        <f>HYPERLINK("https://rabota.by/resume/5a028c8700061eebca0013a3fa62686c475a56","Бухгалтер-экономист")</f>
        <v>Бухгалтер-экономист</v>
      </c>
      <c r="D17" s="16" t="str">
        <f>HYPERLINK("https://rabota.by/vacancy/51093767","Бухгалтер")</f>
        <v>Бухгалтер</v>
      </c>
      <c r="F17" t="s">
        <v>725</v>
      </c>
    </row>
    <row r="18" spans="1:6" x14ac:dyDescent="0.25">
      <c r="A18" s="16" t="str">
        <f>HYPERLINK("https://rabota.by/resume/74bf3f030009534d630013a3fa6a5866617235","Бухгалтер")</f>
        <v>Бухгалтер</v>
      </c>
      <c r="D18" s="16" t="str">
        <f>HYPERLINK("https://rabota.by/vacancy/51267744","Помощник бухгалтера")</f>
        <v>Помощник бухгалтера</v>
      </c>
      <c r="F18" t="s">
        <v>728</v>
      </c>
    </row>
    <row r="19" spans="1:6" x14ac:dyDescent="0.25">
      <c r="A19" s="16" t="str">
        <f>HYPERLINK("https://rabota.by/resume/dd68900a000721ad530013a3fa524971774751","Бухгалтер")</f>
        <v>Бухгалтер</v>
      </c>
      <c r="D19" s="16" t="str">
        <f>HYPERLINK("https://rabota.by/vacancy/50445678","Помощник главного бухгалтера")</f>
        <v>Помощник главного бухгалтера</v>
      </c>
      <c r="F19" t="s">
        <v>726</v>
      </c>
    </row>
    <row r="20" spans="1:6" x14ac:dyDescent="0.25">
      <c r="A20" s="16" t="str">
        <f>HYPERLINK("https://rabota.by/resume/57c87de100016314920013a3fa646b52756264","Бухгалтер")</f>
        <v>Бухгалтер</v>
      </c>
      <c r="D20" s="16" t="str">
        <f>HYPERLINK("https://rabota.by/vacancy/50582524","Бухгалтер")</f>
        <v>Бухгалтер</v>
      </c>
      <c r="F20" t="s">
        <v>729</v>
      </c>
    </row>
    <row r="21" spans="1:6" x14ac:dyDescent="0.25">
      <c r="A21" s="16" t="str">
        <f>HYPERLINK("https://rabota.by/resume/12738f7d0008ce626c0013a3fa784653314e59","Бухгалтер на первичную документацию")</f>
        <v>Бухгалтер на первичную документацию</v>
      </c>
      <c r="D21" s="16" t="str">
        <f>HYPERLINK("https://rabota.by/vacancy/48636191","Главный бухгалтер")</f>
        <v>Главный бухгалтер</v>
      </c>
      <c r="F21" t="s">
        <v>730</v>
      </c>
    </row>
    <row r="22" spans="1:6" x14ac:dyDescent="0.25">
      <c r="A22" s="16" t="str">
        <f>HYPERLINK("https://rabota.by/resume/942c829000023ac79f0013a3fa3161624d5576","Главный бухгалтер")</f>
        <v>Главный бухгалтер</v>
      </c>
      <c r="D22" s="16" t="str">
        <f>HYPERLINK("https://rabota.by/vacancy/50801465","Главный бухгалтер")</f>
        <v>Главный бухгалтер</v>
      </c>
      <c r="F22" t="s">
        <v>731</v>
      </c>
    </row>
    <row r="23" spans="1:6" x14ac:dyDescent="0.25">
      <c r="A23" s="16" t="str">
        <f>HYPERLINK("https://rabota.by/resume/ed75809100045996700013a3fa673837635068","Бухгалтер на первичную документацию")</f>
        <v>Бухгалтер на первичную документацию</v>
      </c>
      <c r="D23" s="16" t="str">
        <f>HYPERLINK("https://rabota.by/vacancy/50781208","Бухгалтер на первичную документацию")</f>
        <v>Бухгалтер на первичную документацию</v>
      </c>
      <c r="F23" t="s">
        <v>732</v>
      </c>
    </row>
    <row r="24" spans="1:6" x14ac:dyDescent="0.25">
      <c r="A24" s="16" t="str">
        <f>HYPERLINK("https://rabota.by/resume/c37d2a150007205e960013a3fa325a586d7049","Бухгалтер, экономист")</f>
        <v>Бухгалтер, экономист</v>
      </c>
      <c r="D24" s="16" t="str">
        <f>HYPERLINK("https://rabota.by/vacancy/50631898","Бухгалтер")</f>
        <v>Бухгалтер</v>
      </c>
      <c r="F24" t="s">
        <v>715</v>
      </c>
    </row>
    <row r="25" spans="1:6" x14ac:dyDescent="0.25">
      <c r="A25" s="16" t="str">
        <f>HYPERLINK("https://rabota.by/resume/f3eeaa3f0000bed0e80013a3fa664359553967","Экономист-бухгалтер")</f>
        <v>Экономист-бухгалтер</v>
      </c>
      <c r="D25" s="16" t="str">
        <f>HYPERLINK("https://rabota.by/vacancy/50826132","Заместитель главного бухгалтера")</f>
        <v>Заместитель главного бухгалтера</v>
      </c>
      <c r="F25" t="s">
        <v>715</v>
      </c>
    </row>
    <row r="26" spans="1:6" x14ac:dyDescent="0.25">
      <c r="A26" s="16" t="str">
        <f>HYPERLINK("https://rabota.by/resume/d1f64f910009702b1d0013a3fa52567038507a","Бухгалтер")</f>
        <v>Бухгалтер</v>
      </c>
      <c r="D26" s="16" t="str">
        <f>HYPERLINK("https://rabota.by/vacancy/50742886","Главный бухгалтер")</f>
        <v>Главный бухгалтер</v>
      </c>
      <c r="F26" t="s">
        <v>731</v>
      </c>
    </row>
    <row r="27" spans="1:6" x14ac:dyDescent="0.25">
      <c r="A27" s="16" t="str">
        <f>HYPERLINK("https://rabota.by/resume/87cbb5f90007854fdd0013a3fa797a6c665a64","Бухгалтер")</f>
        <v>Бухгалтер</v>
      </c>
      <c r="D27" s="16" t="str">
        <f>HYPERLINK("https://rabota.by/vacancy/50792635","Главный бухгалтер")</f>
        <v>Главный бухгалтер</v>
      </c>
    </row>
    <row r="28" spans="1:6" x14ac:dyDescent="0.25">
      <c r="A28" s="16" t="str">
        <f>HYPERLINK("https://rabota.by/resume/ab305f13000145c1810013a3fa52624f573370","Бухгалтер, специалист по ВЭД")</f>
        <v>Бухгалтер, специалист по ВЭД</v>
      </c>
      <c r="D28" s="16" t="str">
        <f>HYPERLINK("https://rabota.by/vacancy/50803805","Бухгалтер (грузоперевозки)")</f>
        <v>Бухгалтер (грузоперевозки)</v>
      </c>
      <c r="F28" t="s">
        <v>733</v>
      </c>
    </row>
    <row r="29" spans="1:6" x14ac:dyDescent="0.25">
      <c r="A29" s="16" t="str">
        <f>HYPERLINK("https://rabota.by/resume/39399d1a00037a3b0a0013a3fa4a38735a3272","Оператор по выписке ТТН,бухгалтер,специалист по работе с клиентами")</f>
        <v>Оператор по выписке ТТН,бухгалтер,специалист по работе с клиентами</v>
      </c>
      <c r="D29" s="16" t="str">
        <f>HYPERLINK("https://rabota.by/vacancy/50800273","Главный бухгалтер")</f>
        <v>Главный бухгалтер</v>
      </c>
      <c r="F29" t="s">
        <v>734</v>
      </c>
    </row>
    <row r="30" spans="1:6" x14ac:dyDescent="0.25">
      <c r="A30" s="16" t="str">
        <f>HYPERLINK("https://rabota.by/resume/a8f6538c00027c5bea0013a3fa476d74756267","Директор филиала, заместитель директора, финансовый менеджер, главный бухгалтер, главный экономист")</f>
        <v>Директор филиала, заместитель директора, финансовый менеджер, главный бухгалтер, главный экономист</v>
      </c>
      <c r="D30" s="16" t="str">
        <f>HYPERLINK("https://rabota.by/vacancy/50792234","Главный бухгалтер")</f>
        <v>Главный бухгалтер</v>
      </c>
      <c r="F30" t="s">
        <v>722</v>
      </c>
    </row>
    <row r="31" spans="1:6" x14ac:dyDescent="0.25">
      <c r="A31" s="16" t="str">
        <f>HYPERLINK("https://rabota.by/resume/cabff1f9000258788c0013a3fa5a5369547767","заместитель главного бухгалтера, бухгалтер,экономист")</f>
        <v>заместитель главного бухгалтера, бухгалтер,экономист</v>
      </c>
      <c r="D31" s="16" t="str">
        <f>HYPERLINK("https://rabota.by/vacancy/50578497","Главный бухгалтер")</f>
        <v>Главный бухгалтер</v>
      </c>
      <c r="F31" t="s">
        <v>734</v>
      </c>
    </row>
    <row r="32" spans="1:6" x14ac:dyDescent="0.25">
      <c r="A32" s="16" t="str">
        <f>HYPERLINK("https://rabota.by/resume/844857d700097d88d00013a3fa715850363362","Бухгалтер-экономист, заместитель главного бухгалтера")</f>
        <v>Бухгалтер-экономист, заместитель главного бухгалтера</v>
      </c>
      <c r="D32" s="16" t="str">
        <f>HYPERLINK("https://rabota.by/vacancy/50331016","Заместитель главного бухгалтера")</f>
        <v>Заместитель главного бухгалтера</v>
      </c>
      <c r="F32" t="s">
        <v>735</v>
      </c>
    </row>
    <row r="33" spans="1:6" x14ac:dyDescent="0.25">
      <c r="A33" s="16" t="str">
        <f>HYPERLINK("https://rabota.by/resume/3aefac2e0006c720880013a3fa47724f317a64","Бухгалтер")</f>
        <v>Бухгалтер</v>
      </c>
      <c r="D33" s="16" t="str">
        <f>HYPERLINK("https://rabota.by/vacancy/50574390","Главный бухгалтер")</f>
        <v>Главный бухгалтер</v>
      </c>
      <c r="F33" t="s">
        <v>736</v>
      </c>
    </row>
    <row r="34" spans="1:6" x14ac:dyDescent="0.25">
      <c r="A34" s="16" t="str">
        <f>HYPERLINK("https://rabota.by/resume/2a71222400021792de0013a3fa736a55346739","Оператор ЭВМ, оператор-бухгалтер")</f>
        <v>Оператор ЭВМ, оператор-бухгалтер</v>
      </c>
      <c r="D34" s="16" t="str">
        <f>HYPERLINK("https://rabota.by/vacancy/50735222","Заместитель главного бухгалтера")</f>
        <v>Заместитель главного бухгалтера</v>
      </c>
    </row>
    <row r="35" spans="1:6" x14ac:dyDescent="0.25">
      <c r="A35" s="16" t="str">
        <f>HYPERLINK("https://rabota.by/resume/0db2b0d400058650e30013a3fa453578556e36","Бухгалтер")</f>
        <v>Бухгалтер</v>
      </c>
    </row>
    <row r="36" spans="1:6" x14ac:dyDescent="0.25">
      <c r="A36" s="16" t="str">
        <f>HYPERLINK("https://rabota.by/resume/affa8d820006e4fa2c0013a3fa5a4d34367678","Главный бухгалтер")</f>
        <v>Главный бухгалтер</v>
      </c>
    </row>
    <row r="37" spans="1:6" x14ac:dyDescent="0.25">
      <c r="A37" s="16" t="str">
        <f>HYPERLINK("https://rabota.by/resume/8cda83b000096005920013a3fa45696c723436","Бухгалтер")</f>
        <v>Бухгалтер</v>
      </c>
    </row>
    <row r="38" spans="1:6" x14ac:dyDescent="0.25">
      <c r="A38" s="16" t="str">
        <f>HYPERLINK("https://rabota.by/resume/89a367f60007b767910013a3fa72706e62766e","Бухгалтер")</f>
        <v>Бухгалтер</v>
      </c>
    </row>
    <row r="39" spans="1:6" x14ac:dyDescent="0.25">
      <c r="A39" s="16" t="str">
        <f>HYPERLINK("https://rabota.by/resume/219f8f6a000547d4460013a3fa3072744d4f70","Помощник бухгалтера")</f>
        <v>Помощник бухгалтера</v>
      </c>
    </row>
    <row r="40" spans="1:6" x14ac:dyDescent="0.25">
      <c r="A40" s="16" t="str">
        <f>HYPERLINK("https://rabota.by/resume/e9326333000710043e0013a3fa635a34344336","Бухгалтер по расчету заработной платы")</f>
        <v>Бухгалтер по расчету заработной платы</v>
      </c>
    </row>
    <row r="41" spans="1:6" x14ac:dyDescent="0.25">
      <c r="A41" s="16" t="str">
        <f>HYPERLINK("https://rabota.by/resume/99f53e7b00076bd8eb0013a3fa6b7171636c6d","Экономист-бухгалтер")</f>
        <v>Экономист-бухгалтер</v>
      </c>
    </row>
    <row r="42" spans="1:6" x14ac:dyDescent="0.25">
      <c r="A42" s="16" t="str">
        <f>HYPERLINK("https://rabota.by/resume/bf3da44c00064417bb0013a3fa346d7a516847","Бухгалтер, специалист по логистике")</f>
        <v>Бухгалтер, специалист по логистике</v>
      </c>
    </row>
    <row r="43" spans="1:6" x14ac:dyDescent="0.25">
      <c r="A43" s="16" t="str">
        <f>HYPERLINK("https://rabota.by/resume/1e1a63c000050c61b60013a3fa7657646a7a6c","Оператор ПК, Администратор, Бухгалтер, Калькулятор")</f>
        <v>Оператор ПК, Администратор, Бухгалтер, Калькулятор</v>
      </c>
    </row>
    <row r="44" spans="1:6" x14ac:dyDescent="0.25">
      <c r="A44" s="16" t="str">
        <f>HYPERLINK("https://rabota.by/resume/9b0bf77f00011ba9df0013a3fa383543426479","Бухгалтер, бухгалтер-калькулятор")</f>
        <v>Бухгалтер, бухгалтер-калькулятор</v>
      </c>
    </row>
    <row r="45" spans="1:6" x14ac:dyDescent="0.25">
      <c r="A45" s="16" t="str">
        <f>HYPERLINK("https://rabota.by/resume/39c8859c0008a0b2e50013a3fa697077367456","Бухгалтер")</f>
        <v>Бухгалтер</v>
      </c>
    </row>
    <row r="46" spans="1:6" x14ac:dyDescent="0.25">
      <c r="A46" s="16" t="str">
        <f>HYPERLINK("https://rabota.by/resume/ec190e1c0001aecdd50013a3fa674b4c484f38","Администратор,специалист,менеджер, бухгалтер")</f>
        <v>Администратор,специалист,менеджер, бухгалтер</v>
      </c>
    </row>
    <row r="47" spans="1:6" x14ac:dyDescent="0.25">
      <c r="A47" s="16" t="str">
        <f>HYPERLINK("https://rabota.by/resume/1651c6180007f7ddef0013a3fa67783447704f","Банковский сотрудник, экономист, бухгалтер")</f>
        <v>Банковский сотрудник, экономист, бухгалтер</v>
      </c>
    </row>
    <row r="48" spans="1:6" x14ac:dyDescent="0.25">
      <c r="A48" s="16" t="str">
        <f>HYPERLINK("https://rabota.by/resume/21db94820005bffe2a0013a3fa597a716b7542","Главный бухгалтер")</f>
        <v>Главный бухгалтер</v>
      </c>
    </row>
    <row r="49" spans="1:1" x14ac:dyDescent="0.25">
      <c r="A49" s="16" t="str">
        <f>HYPERLINK("https://rabota.by/resume/49e1866a000323b0c80013a3fa627a57434a57","Бухгалтер,оператор.Готова рассмотреть другие вакансии.")</f>
        <v>Бухгалтер,оператор.Готова рассмотреть другие вакансии.</v>
      </c>
    </row>
    <row r="50" spans="1:1" x14ac:dyDescent="0.25">
      <c r="A50" s="16" t="str">
        <f>HYPERLINK("https://rabota.by/resume/31fce37e00032f24380013a3fa4c7278537559","Бухгалтер")</f>
        <v>Бухгалтер</v>
      </c>
    </row>
    <row r="51" spans="1:1" x14ac:dyDescent="0.25">
      <c r="A51" s="16" t="str">
        <f>HYPERLINK("https://rabota.by/resume/c9c8b3c30009767e330013a3fa4f525a595545","Бухгалтер")</f>
        <v>Бухгалтер</v>
      </c>
    </row>
    <row r="52" spans="1:1" x14ac:dyDescent="0.25">
      <c r="A52" s="16" t="str">
        <f>HYPERLINK("https://rabota.by/resume/9cd1028c0007100c340013a3fa354c70506a7a","Экономист, бухгалтер")</f>
        <v>Экономист, бухгалтер</v>
      </c>
    </row>
    <row r="53" spans="1:1" x14ac:dyDescent="0.25">
      <c r="A53" s="16" t="str">
        <f>HYPERLINK("https://rabota.by/resume/8774597c00014d23970013a3fa71356c516948","Бухгалтер-экономист")</f>
        <v>Бухгалтер-экономист</v>
      </c>
    </row>
    <row r="54" spans="1:1" x14ac:dyDescent="0.25">
      <c r="A54" s="16" t="str">
        <f>HYPERLINK("https://rabota.by/resume/249a531200087a4ea30013a3fa463151354766","Бухгалтер-экономист")</f>
        <v>Бухгалтер-экономист</v>
      </c>
    </row>
    <row r="55" spans="1:1" x14ac:dyDescent="0.25">
      <c r="A55" s="16" t="str">
        <f>HYPERLINK("https://rabota.by/resume/8d25df840008f424bc0013a3fa4b34764e6d46","Бухгалтер")</f>
        <v>Бухгалтер</v>
      </c>
    </row>
    <row r="56" spans="1:1" x14ac:dyDescent="0.25">
      <c r="A56" s="16" t="str">
        <f>HYPERLINK("https://rabota.by/resume/9418a1d70000f881f30013a3fa32784e457852","Бухгалтер")</f>
        <v>Бухгалтер</v>
      </c>
    </row>
    <row r="57" spans="1:1" x14ac:dyDescent="0.25">
      <c r="A57" s="16" t="str">
        <f>HYPERLINK("https://rabota.by/resume/b3b16003000838f4150013a3fa735a7a624932","Экономист-бухгалтер")</f>
        <v>Экономист-бухгалтер</v>
      </c>
    </row>
    <row r="58" spans="1:1" x14ac:dyDescent="0.25">
      <c r="A58" s="16" t="str">
        <f>HYPERLINK("https://rabota.by/resume/0b2e543900068ef1560013a3fa5645314d396a","Бухгалтер")</f>
        <v>Бухгалтер</v>
      </c>
    </row>
    <row r="59" spans="1:1" x14ac:dyDescent="0.25">
      <c r="A59" s="16" t="str">
        <f>HYPERLINK("https://rabota.by/resume/d7389bb30000ee7b0e0013a3fa536a4566446f","Бухгалтер, Специалист")</f>
        <v>Бухгалтер, Специалист</v>
      </c>
    </row>
    <row r="60" spans="1:1" x14ac:dyDescent="0.25">
      <c r="A60" s="16" t="str">
        <f>HYPERLINK("https://rabota.by/resume/bd78b886000279557c0013a3fa3276336a4b75","Бухгалтер, экономист")</f>
        <v>Бухгалтер, экономист</v>
      </c>
    </row>
    <row r="61" spans="1:1" x14ac:dyDescent="0.25">
      <c r="A61" s="16" t="str">
        <f>HYPERLINK("https://rabota.by/resume/03014e4700098ed71c0013a3fa7a7672796e78","Бухгалтер-экономист")</f>
        <v>Бухгалтер-экономист</v>
      </c>
    </row>
    <row r="62" spans="1:1" x14ac:dyDescent="0.25">
      <c r="A62" s="16" t="str">
        <f>HYPERLINK("https://rabota.by/resume/69df2604000997c8810013a3fa78637a655a61","Бухгалтер-калькулятор")</f>
        <v>Бухгалтер-калькулятор</v>
      </c>
    </row>
    <row r="63" spans="1:1" x14ac:dyDescent="0.25">
      <c r="A63" s="16" t="str">
        <f>HYPERLINK("https://rabota.by/resume/5b29bc1a0008ffa1840013a3fa5455566b4953","Главный бухгалтер удаленно или на дому")</f>
        <v>Главный бухгалтер удаленно или на дому</v>
      </c>
    </row>
    <row r="64" spans="1:1" x14ac:dyDescent="0.25">
      <c r="A64" s="16" t="str">
        <f>HYPERLINK("https://rabota.by/resume/ab4d6a0500080027480013a3fa54466e545653","Бухгалтер")</f>
        <v>Бухгалтер</v>
      </c>
    </row>
    <row r="65" spans="1:1" x14ac:dyDescent="0.25">
      <c r="A65" s="16" t="str">
        <f>HYPERLINK("https://rabota.by/resume/187133400004f335f00013a3fa554b3462774c","Экономист-бухгалтер")</f>
        <v>Экономист-бухгалтер</v>
      </c>
    </row>
    <row r="66" spans="1:1" x14ac:dyDescent="0.25">
      <c r="A66" s="16" t="str">
        <f>HYPERLINK("https://rabota.by/resume/71ddc6470001fabcd20013a3fa4a5750377063","Бухгалтер")</f>
        <v>Бухгалтер</v>
      </c>
    </row>
    <row r="67" spans="1:1" x14ac:dyDescent="0.25">
      <c r="A67" s="16" t="str">
        <f>HYPERLINK("https://rabota.by/resume/1594556a0008ac939d0013a3fa69644f79587a","Бухгалтер на первичную документацию")</f>
        <v>Бухгалтер на первичную документацию</v>
      </c>
    </row>
    <row r="68" spans="1:1" x14ac:dyDescent="0.25">
      <c r="A68" s="16" t="str">
        <f>HYPERLINK("https://rabota.by/resume/cfa9146d0005ea55d10013a3fa414a43713848","Главный бухгалтер")</f>
        <v>Главный бухгалтер</v>
      </c>
    </row>
    <row r="69" spans="1:1" x14ac:dyDescent="0.25">
      <c r="A69" s="16" t="str">
        <f>HYPERLINK("https://rabota.by/resume/57c5c66c0005fb37810013a3fa4d6548657151","Бухгалтер")</f>
        <v>Бухгалтер</v>
      </c>
    </row>
    <row r="70" spans="1:1" x14ac:dyDescent="0.25">
      <c r="A70" s="16" t="str">
        <f>HYPERLINK("https://rabota.by/resume/7911408e00016cccfb0013a3fa6a6a4575564b","Бухгалтер-экономист")</f>
        <v>Бухгалтер-экономист</v>
      </c>
    </row>
    <row r="71" spans="1:1" x14ac:dyDescent="0.25">
      <c r="A71" s="16" t="str">
        <f>HYPERLINK("https://rabota.by/resume/256c03320004354d4a0013a3fa7536366e3339","Бухгалтер по расчету заработной платы")</f>
        <v>Бухгалтер по расчету заработной платы</v>
      </c>
    </row>
    <row r="72" spans="1:1" x14ac:dyDescent="0.25">
      <c r="A72" s="16" t="str">
        <f>HYPERLINK("https://rabota.by/resume/b4362a09000955b0690013a3fa436231747167","бухгалтер")</f>
        <v>бухгалтер</v>
      </c>
    </row>
    <row r="73" spans="1:1" x14ac:dyDescent="0.25">
      <c r="A73" s="16" t="str">
        <f>HYPERLINK("https://rabota.by/resume/2c8406970008c0918d0013a3fa354c394d5751","Бухгалтер")</f>
        <v>Бухгалтер</v>
      </c>
    </row>
    <row r="74" spans="1:1" x14ac:dyDescent="0.25">
      <c r="A74" s="16" t="str">
        <f>HYPERLINK("https://rabota.by/resume/a3ddceed0005ab411c0013a3fa537973304442","Бухгалтер")</f>
        <v>Бухгалтер</v>
      </c>
    </row>
    <row r="75" spans="1:1" x14ac:dyDescent="0.25">
      <c r="A75" s="16" t="str">
        <f>HYPERLINK("https://rabota.by/resume/1919f91c000980e9420013a3fa7630716c654a","Бухгалтер по расчету заработной платы")</f>
        <v>Бухгалтер по расчету заработной платы</v>
      </c>
    </row>
    <row r="76" spans="1:1" x14ac:dyDescent="0.25">
      <c r="A76" s="16" t="str">
        <f>HYPERLINK("https://rabota.by/resume/05728c2400097a2c940013a3fa587a42497a50","Заведующий магазина, (отдела), экономист, бухгалтер")</f>
        <v>Заведующий магазина, (отдела), экономист, бухгалтер</v>
      </c>
    </row>
    <row r="77" spans="1:1" x14ac:dyDescent="0.25">
      <c r="A77" s="16" t="str">
        <f>HYPERLINK("https://rabota.by/resume/43d72e460008be6cc70013a3fa6747504f4663","Бухгалтер")</f>
        <v>Бухгалтер</v>
      </c>
    </row>
    <row r="78" spans="1:1" x14ac:dyDescent="0.25">
      <c r="A78" s="16" t="str">
        <f>HYPERLINK("https://rabota.by/resume/e59fcab700096d70010013a3fa52516c665441","Бухгалтер на первичную документацию")</f>
        <v>Бухгалтер на первичную документацию</v>
      </c>
    </row>
    <row r="79" spans="1:1" x14ac:dyDescent="0.25">
      <c r="A79" s="16" t="str">
        <f>HYPERLINK("https://rabota.by/resume/f9aa79c900029cd9270013a3fa766e76726742","Секретарь,бухгалтер,администратор")</f>
        <v>Секретарь,бухгалтер,администратор</v>
      </c>
    </row>
    <row r="80" spans="1:1" x14ac:dyDescent="0.25">
      <c r="A80" s="16" t="str">
        <f>HYPERLINK("https://rabota.by/resume/8855a28a00025bc4620013a3fa644c4f513777","Бухгалтер по тмц/специалист по развитию сети")</f>
        <v>Бухгалтер по тмц/специалист по развитию сети</v>
      </c>
    </row>
    <row r="81" spans="1:1" x14ac:dyDescent="0.25">
      <c r="A81" s="16" t="str">
        <f>HYPERLINK("https://rabota.by/resume/dff6c53a000581cebd0013a3fa4a4d46304f79","Экономист-финансист,экономист,бухгалтер,другая")</f>
        <v>Экономист-финансист,экономист,бухгалтер,другая</v>
      </c>
    </row>
    <row r="82" spans="1:1" x14ac:dyDescent="0.25">
      <c r="A82" s="16" t="str">
        <f>HYPERLINK("https://rabota.by/resume/488f669e0008bd00710013a3fa497834396b61","Бухгалтер")</f>
        <v>Бухгалтер</v>
      </c>
    </row>
    <row r="83" spans="1:1" x14ac:dyDescent="0.25">
      <c r="A83" s="16" t="str">
        <f>HYPERLINK("https://rabota.by/resume/7359029f00073e9fa70013a3fa777048695739","Бухгалтер")</f>
        <v>Бухгалтер</v>
      </c>
    </row>
    <row r="84" spans="1:1" x14ac:dyDescent="0.25">
      <c r="A84" s="16" t="str">
        <f>HYPERLINK("https://rabota.by/resume/3ad8414600025eb1ca0013a3fa55426238694b","Бухгалтер, экономист, продавец-консультант")</f>
        <v>Бухгалтер, экономист, продавец-консультант</v>
      </c>
    </row>
    <row r="85" spans="1:1" x14ac:dyDescent="0.25">
      <c r="A85" s="16" t="str">
        <f>HYPERLINK("https://rabota.by/resume/41b8748800040456880013a3fa4b7671414a43","Бухгалтер")</f>
        <v>Бухгалтер</v>
      </c>
    </row>
    <row r="86" spans="1:1" x14ac:dyDescent="0.25">
      <c r="A86" s="16" t="str">
        <f>HYPERLINK("https://rabota.by/resume/44d6ef120002b8bb1e0013a3fa3970556b4f6b","Бухгалтер-экономист")</f>
        <v>Бухгалтер-экономист</v>
      </c>
    </row>
    <row r="87" spans="1:1" x14ac:dyDescent="0.25">
      <c r="A87" s="16" t="str">
        <f>HYPERLINK("https://rabota.by/resume/284757780006d539590013a3fa644535466836","Бухгалтер по зарплате")</f>
        <v>Бухгалтер по зарплате</v>
      </c>
    </row>
    <row r="88" spans="1:1" x14ac:dyDescent="0.25">
      <c r="A88" s="16" t="str">
        <f>HYPERLINK("https://rabota.by/resume/f80508f20001fd57220013a3fa4c63524f574a","Экономист-калькулятор, бухгалтер")</f>
        <v>Экономист-калькулятор, бухгалтер</v>
      </c>
    </row>
    <row r="89" spans="1:1" x14ac:dyDescent="0.25">
      <c r="A89" s="16" t="str">
        <f>HYPERLINK("https://rabota.by/resume/e046b5450008eb8c430013a3fa674135514272","Бухгалтер")</f>
        <v>Бухгалтер</v>
      </c>
    </row>
    <row r="90" spans="1:1" x14ac:dyDescent="0.25">
      <c r="A90" s="16" t="str">
        <f>HYPERLINK("https://rabota.by/resume/be47b80c00079a73180013a3fa644556573868","Экономист-бухгалтер")</f>
        <v>Экономист-бухгалтер</v>
      </c>
    </row>
    <row r="91" spans="1:1" x14ac:dyDescent="0.25">
      <c r="A91" s="16" t="str">
        <f>HYPERLINK("https://rabota.by/resume/68f480db00075bba380013a3fa50637a6b3169","Бухгалтер")</f>
        <v>Бухгалтер</v>
      </c>
    </row>
    <row r="92" spans="1:1" x14ac:dyDescent="0.25">
      <c r="A92" s="16" t="str">
        <f>HYPERLINK("https://rabota.by/resume/eebf86b5000827775b0013a3fa56397630474f","бухгалтер, экономист, специалист")</f>
        <v>бухгалтер, экономист, специалист</v>
      </c>
    </row>
    <row r="93" spans="1:1" x14ac:dyDescent="0.25">
      <c r="A93" s="16" t="str">
        <f>HYPERLINK("https://rabota.by/resume/e10adf1f00050f4c410013a3fa6d52424f714d","Главный бухгалтер")</f>
        <v>Главный бухгалтер</v>
      </c>
    </row>
    <row r="94" spans="1:1" x14ac:dyDescent="0.25">
      <c r="A94" s="16" t="str">
        <f>HYPERLINK("https://rabota.by/resume/b9c9b5c100020847fa0013a3fa765961654f39","Бухгалтер для ТСЖ")</f>
        <v>Бухгалтер для ТСЖ</v>
      </c>
    </row>
    <row r="95" spans="1:1" x14ac:dyDescent="0.25">
      <c r="A95" s="16" t="str">
        <f>HYPERLINK("https://rabota.by/resume/4991e0480001eaea080013a3fa645a38766138","Оператор ЭВМ, бухгалтер")</f>
        <v>Оператор ЭВМ, бухгалтер</v>
      </c>
    </row>
    <row r="96" spans="1:1" x14ac:dyDescent="0.25">
      <c r="A96" s="16" t="str">
        <f>HYPERLINK("https://rabota.by/resume/8a4341610005f757230013a3fa6f794f505639","Бухгалтер")</f>
        <v>Бухгалтер</v>
      </c>
    </row>
    <row r="97" spans="1:1" x14ac:dyDescent="0.25">
      <c r="A97" s="16" t="str">
        <f>HYPERLINK("https://rabota.by/resume/fd202e9e00010e12330013a3fa375653397157","Бухгалтер")</f>
        <v>Бухгалтер</v>
      </c>
    </row>
    <row r="98" spans="1:1" x14ac:dyDescent="0.25">
      <c r="A98" s="16" t="str">
        <f>HYPERLINK("https://rabota.by/resume/bbc81c570008e5bbfb0013a3fa59725953386d","Оператор ПК, оператор базы данных, бухгалтер 1С")</f>
        <v>Оператор ПК, оператор базы данных, бухгалтер 1С</v>
      </c>
    </row>
    <row r="99" spans="1:1" x14ac:dyDescent="0.25">
      <c r="A99" s="16" t="str">
        <f>HYPERLINK("https://rabota.by/resume/b52226270005c0d7820013a3fa796273555751","Главный бухгалтер, экономист")</f>
        <v>Главный бухгалтер, экономист</v>
      </c>
    </row>
    <row r="100" spans="1:1" x14ac:dyDescent="0.25">
      <c r="A100" s="16" t="str">
        <f>HYPERLINK("https://rabota.by/resume/27150f22000589628e0013a3fa6c554d756370","Экономист, бухгалтер")</f>
        <v>Экономист, бухгалтер</v>
      </c>
    </row>
    <row r="101" spans="1:1" x14ac:dyDescent="0.25">
      <c r="A101" s="16" t="str">
        <f>HYPERLINK("https://rabota.by/resume/1ebc7bde00022004dc0013a3fa573943384130","Бухгалтер, экономист")</f>
        <v>Бухгалтер, экономист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D20" sqref="D20"/>
    </sheetView>
  </sheetViews>
  <sheetFormatPr defaultRowHeight="15" x14ac:dyDescent="0.25"/>
  <cols>
    <col min="1" max="1" width="63.42578125" customWidth="1"/>
    <col min="2" max="2" width="4.28515625" customWidth="1"/>
    <col min="3" max="3" width="4.7109375" customWidth="1"/>
    <col min="4" max="4" width="61.140625" bestFit="1" customWidth="1"/>
    <col min="5" max="5" width="5.5703125" customWidth="1"/>
  </cols>
  <sheetData>
    <row r="1" spans="1:6" x14ac:dyDescent="0.25">
      <c r="A1" t="s">
        <v>709</v>
      </c>
      <c r="D1" t="s">
        <v>710</v>
      </c>
    </row>
    <row r="2" spans="1:6" x14ac:dyDescent="0.25">
      <c r="A2" s="16" t="str">
        <f>HYPERLINK("https://rabota.by/resume/d864696e0003217a370013a3fa443365656b4f","Юрисконсульт, экономист")</f>
        <v>Юрисконсульт, экономист</v>
      </c>
      <c r="D2" s="16" t="str">
        <f>HYPERLINK("https://rabota.by/vacancy/51109206","Экономист")</f>
        <v>Экономист</v>
      </c>
      <c r="F2" t="s">
        <v>715</v>
      </c>
    </row>
    <row r="3" spans="1:6" x14ac:dyDescent="0.25">
      <c r="A3" s="16" t="str">
        <f>HYPERLINK("https://rabota.by/resume/851f33520007e5fe660013a3fa42386249456e","Экономист")</f>
        <v>Экономист</v>
      </c>
      <c r="D3" s="16" t="str">
        <f>HYPERLINK("https://rabota.by/vacancy/50936337","Главный экономист")</f>
        <v>Главный экономист</v>
      </c>
      <c r="F3" t="s">
        <v>737</v>
      </c>
    </row>
    <row r="4" spans="1:6" x14ac:dyDescent="0.25">
      <c r="A4" s="16" t="str">
        <f>HYPERLINK("https://rabota.by/resume/a036ce040001419a5c0013a3fa4d3873727267","Бухгалтер, экономист, менеджер")</f>
        <v>Бухгалтер, экономист, менеджер</v>
      </c>
      <c r="D4" s="16" t="str">
        <f>HYPERLINK("https://rabota.by/vacancy/50653175","Экономист")</f>
        <v>Экономист</v>
      </c>
      <c r="F4" t="s">
        <v>715</v>
      </c>
    </row>
    <row r="5" spans="1:6" x14ac:dyDescent="0.25">
      <c r="A5" s="16" t="str">
        <f>HYPERLINK("https://rabota.by/resume/7bf356b50003e002670013a3fa65524c566b42","Бухгалтер-экономист")</f>
        <v>Бухгалтер-экономист</v>
      </c>
      <c r="D5" s="16" t="str">
        <f>HYPERLINK("https://rabota.by/vacancy/50769294","Ведущий экономист ПЭО")</f>
        <v>Ведущий экономист ПЭО</v>
      </c>
    </row>
    <row r="6" spans="1:6" x14ac:dyDescent="0.25">
      <c r="A6" s="16" t="str">
        <f>HYPERLINK("https://rabota.by/resume/8879c7e700045dc80e0013a3fa70706735314d","Менеджер-экономист")</f>
        <v>Менеджер-экономист</v>
      </c>
      <c r="D6" s="16" t="str">
        <f>HYPERLINK("https://rabota.by/vacancy/50913315","Экономист")</f>
        <v>Экономист</v>
      </c>
      <c r="F6" t="s">
        <v>738</v>
      </c>
    </row>
    <row r="7" spans="1:6" x14ac:dyDescent="0.25">
      <c r="A7" s="16" t="str">
        <f>HYPERLINK("https://rabota.by/resume/742e2b430002e6bb5f0013a3fa524d53707858","Экономист")</f>
        <v>Экономист</v>
      </c>
      <c r="D7" s="16" t="str">
        <f>HYPERLINK("https://rabota.by/vacancy/51180779","Экономист")</f>
        <v>Экономист</v>
      </c>
      <c r="F7" t="s">
        <v>739</v>
      </c>
    </row>
    <row r="8" spans="1:6" x14ac:dyDescent="0.25">
      <c r="A8" s="16" t="str">
        <f>HYPERLINK("https://rabota.by/resume/655a610c00022b09650013a3fa577533536c35","Администратор, кредитный агент. Экономист.")</f>
        <v>Администратор, кредитный агент. Экономист.</v>
      </c>
      <c r="D8" s="16" t="str">
        <f>HYPERLINK("https://rabota.by/vacancy/50783797","Главный специалист отдел заказчика, инженер ПТО, экономист.")</f>
        <v>Главный специалист отдел заказчика, инженер ПТО, экономист.</v>
      </c>
      <c r="F8" t="s">
        <v>740</v>
      </c>
    </row>
    <row r="9" spans="1:6" x14ac:dyDescent="0.25">
      <c r="A9" s="16" t="str">
        <f>HYPERLINK("https://rabota.by/resume/d0bdbd7300081e43c90013a3fa70727a484b56","Менеджер,Офис-менеджер,администратор, экономист, секретарь")</f>
        <v>Менеджер,Офис-менеджер,администратор, экономист, секретарь</v>
      </c>
      <c r="D9" s="16" t="str">
        <f>HYPERLINK("https://rabota.by/vacancy/50945050","Ведущий экономист")</f>
        <v>Ведущий экономист</v>
      </c>
      <c r="F9" t="s">
        <v>741</v>
      </c>
    </row>
    <row r="10" spans="1:6" x14ac:dyDescent="0.25">
      <c r="A10" s="16" t="str">
        <f>HYPERLINK("https://rabota.by/resume/0497ab22000384512c0013a3fa6e7a74474c65","Экономист-бухгалтер")</f>
        <v>Экономист-бухгалтер</v>
      </c>
    </row>
    <row r="11" spans="1:6" x14ac:dyDescent="0.25">
      <c r="A11" s="16" t="str">
        <f>HYPERLINK("https://rabota.by/resume/2716a18d000806a8fc0013a3fa7072537a666c","Экономист,финансист")</f>
        <v>Экономист,финансист</v>
      </c>
    </row>
    <row r="12" spans="1:6" x14ac:dyDescent="0.25">
      <c r="A12" s="16" t="str">
        <f>HYPERLINK("https://rabota.by/resume/22afba4e00023bf21f0013a3fa34353530766d","Бухгалтер-экономист.... Торговый агент-торговый представитель")</f>
        <v>Бухгалтер-экономист.... Торговый агент-торговый представитель</v>
      </c>
    </row>
    <row r="13" spans="1:6" x14ac:dyDescent="0.25">
      <c r="A13" s="16" t="str">
        <f>HYPERLINK("https://rabota.by/resume/7ebf2ec300074cb14e0013a3fa6d394169746a","Инженер-экономист")</f>
        <v>Инженер-экономист</v>
      </c>
    </row>
    <row r="14" spans="1:6" x14ac:dyDescent="0.25">
      <c r="A14" s="16" t="str">
        <f>HYPERLINK("https://rabota.by/resume/b72081020005e0861f0013a3fa653553704442","Бухгалтер, экономист, администратор")</f>
        <v>Бухгалтер, экономист, администратор</v>
      </c>
    </row>
    <row r="15" spans="1:6" x14ac:dyDescent="0.25">
      <c r="A15" s="16" t="str">
        <f>HYPERLINK("https://rabota.by/resume/ad86a744000765d7d30013a3fa505666674567","Помощник экономиста")</f>
        <v>Помощник экономиста</v>
      </c>
    </row>
    <row r="16" spans="1:6" x14ac:dyDescent="0.25">
      <c r="A16" s="16" t="str">
        <f>HYPERLINK("https://rabota.by/resume/896969ec00042233ea0013a3fa626e65504a6a","Экономист")</f>
        <v>Экономист</v>
      </c>
    </row>
    <row r="17" spans="1:1" x14ac:dyDescent="0.25">
      <c r="A17" s="16" t="str">
        <f>HYPERLINK("https://rabota.by/resume/42992996000888e3990013a3fa664b61375546","Бухгалтер-экономист")</f>
        <v>Бухгалтер-экономист</v>
      </c>
    </row>
    <row r="18" spans="1:1" x14ac:dyDescent="0.25">
      <c r="A18" s="16" t="str">
        <f>HYPERLINK("https://rabota.by/resume/5a028c8700061eebca0013a3fa62686c475a56","Бухгалтер-экономист")</f>
        <v>Бухгалтер-экономист</v>
      </c>
    </row>
    <row r="19" spans="1:1" x14ac:dyDescent="0.25">
      <c r="A19" s="16" t="str">
        <f>HYPERLINK("https://rabota.by/resume/32e965aa0007b22b450013a3fa4d764c695635","Логист, экономист, аналитик, data science (python)")</f>
        <v>Логист, экономист, аналитик, data science (python)</v>
      </c>
    </row>
    <row r="20" spans="1:1" x14ac:dyDescent="0.25">
      <c r="A20" s="16" t="str">
        <f>HYPERLINK("https://rabota.by/resume/7dca592b00089627fd0013a3fa395a52446177","Экономист")</f>
        <v>Экономист</v>
      </c>
    </row>
    <row r="21" spans="1:1" x14ac:dyDescent="0.25">
      <c r="A21" s="16" t="str">
        <f>HYPERLINK("https://rabota.by/resume/c4e722c5000927d7800013a3fa526366554679","Ассистент аудитора, экономист")</f>
        <v>Ассистент аудитора, экономист</v>
      </c>
    </row>
    <row r="22" spans="1:1" x14ac:dyDescent="0.25">
      <c r="A22" s="16" t="str">
        <f>HYPERLINK("https://rabota.by/resume/b357489200062a690e0013a3fa4a3936644738","Экономист")</f>
        <v>Экономист</v>
      </c>
    </row>
    <row r="23" spans="1:1" x14ac:dyDescent="0.25">
      <c r="A23" s="16" t="str">
        <f>HYPERLINK("https://rabota.by/resume/891bfdf000084e06f40013a3fa334f766d314a","Ведущий экономист")</f>
        <v>Ведущий экономист</v>
      </c>
    </row>
    <row r="24" spans="1:1" x14ac:dyDescent="0.25">
      <c r="A24" s="16" t="str">
        <f>HYPERLINK("https://rabota.by/resume/25b706270008b7b4ab0013a3fa554d51395837","Экономист")</f>
        <v>Экономист</v>
      </c>
    </row>
    <row r="25" spans="1:1" x14ac:dyDescent="0.25">
      <c r="A25" s="16" t="str">
        <f>HYPERLINK("https://rabota.by/resume/b3b8161a00097235200013a3fa546e77524c43","Менеджер-экономист")</f>
        <v>Менеджер-экономист</v>
      </c>
    </row>
    <row r="26" spans="1:1" x14ac:dyDescent="0.25">
      <c r="A26" s="16" t="str">
        <f>HYPERLINK("https://rabota.by/resume/c37d2a150007205e960013a3fa325a586d7049","Бухгалтер, экономист")</f>
        <v>Бухгалтер, экономист</v>
      </c>
    </row>
    <row r="27" spans="1:1" x14ac:dyDescent="0.25">
      <c r="A27" s="16" t="str">
        <f>HYPERLINK("https://rabota.by/resume/f3eeaa3f0000bed0e80013a3fa664359553967","Экономист-бухгалтер")</f>
        <v>Экономист-бухгалтер</v>
      </c>
    </row>
    <row r="28" spans="1:1" x14ac:dyDescent="0.25">
      <c r="A28" s="16" t="str">
        <f>HYPERLINK("https://rabota.by/resume/842e8a5f00086c489e0013a3fa584533317049","Экономист 1 категории")</f>
        <v>Экономист 1 категории</v>
      </c>
    </row>
    <row r="29" spans="1:1" x14ac:dyDescent="0.25">
      <c r="A29" s="16" t="str">
        <f>HYPERLINK("https://rabota.by/resume/82bddefa0003b5f48a0013a3fa34706f433168","Инженер-экономист")</f>
        <v>Инженер-экономист</v>
      </c>
    </row>
    <row r="30" spans="1:1" x14ac:dyDescent="0.25">
      <c r="A30" s="16" t="str">
        <f>HYPERLINK("https://rabota.by/resume/8fc46468000943f12c0013a3fa336b51567677","Экономист-аналитик")</f>
        <v>Экономист-аналитик</v>
      </c>
    </row>
    <row r="31" spans="1:1" x14ac:dyDescent="0.25">
      <c r="A31" s="16" t="str">
        <f>HYPERLINK("https://rabota.by/resume/913177770001ced0000013a3fa437741746c6e","Главный экономист")</f>
        <v>Главный экономист</v>
      </c>
    </row>
    <row r="32" spans="1:1" x14ac:dyDescent="0.25">
      <c r="A32" s="16" t="str">
        <f>HYPERLINK("https://rabota.by/resume/a8f6538c00027c5bea0013a3fa476d74756267","Директор филиала, заместитель директора, финансовый менеджер, главный бухгалтер, главный экономист")</f>
        <v>Директор филиала, заместитель директора, финансовый менеджер, главный бухгалтер, главный экономист</v>
      </c>
    </row>
    <row r="33" spans="1:1" x14ac:dyDescent="0.25">
      <c r="A33" s="16" t="str">
        <f>HYPERLINK("https://rabota.by/resume/0f4b2ce800055839b80013a3fa347431675177","Специалист по логистике-экономист")</f>
        <v>Специалист по логистике-экономист</v>
      </c>
    </row>
    <row r="34" spans="1:1" x14ac:dyDescent="0.25">
      <c r="A34" s="16" t="str">
        <f>HYPERLINK("https://rabota.by/resume/181d11430008d6d7fe0013a3fa6d305a397936","Экономист")</f>
        <v>Экономист</v>
      </c>
    </row>
    <row r="35" spans="1:1" x14ac:dyDescent="0.25">
      <c r="A35" s="16" t="str">
        <f>HYPERLINK("https://rabota.by/resume/cabff1f9000258788c0013a3fa5a5369547767","заместитель главного бухгалтера, бухгалтер,экономист")</f>
        <v>заместитель главного бухгалтера, бухгалтер,экономист</v>
      </c>
    </row>
    <row r="36" spans="1:1" x14ac:dyDescent="0.25">
      <c r="A36" s="16" t="str">
        <f>HYPERLINK("https://rabota.by/resume/844857d700097d88d00013a3fa715850363362","Бухгалтер-экономист, заместитель главного бухгалтера")</f>
        <v>Бухгалтер-экономист, заместитель главного бухгалтера</v>
      </c>
    </row>
    <row r="37" spans="1:1" x14ac:dyDescent="0.25">
      <c r="A37" s="16" t="str">
        <f>HYPERLINK("https://rabota.by/resume/1a4361d000078bdcd50013a3fa7a5439636173","Экономист")</f>
        <v>Экономист</v>
      </c>
    </row>
    <row r="38" spans="1:1" x14ac:dyDescent="0.25">
      <c r="A38" s="16" t="str">
        <f>HYPERLINK("https://rabota.by/resume/0d0475800008dfbe0f0013a3fa52686a4d6c61","Ведущий экономист")</f>
        <v>Ведущий экономист</v>
      </c>
    </row>
    <row r="39" spans="1:1" x14ac:dyDescent="0.25">
      <c r="A39" s="16" t="str">
        <f>HYPERLINK("https://rabota.by/resume/dc5728650009063c5d0013a3fa663652593748","Специалист по продажам, Экономист, Маркетолог, Логист, Агент по недвижимости")</f>
        <v>Специалист по продажам, Экономист, Маркетолог, Логист, Агент по недвижимости</v>
      </c>
    </row>
    <row r="40" spans="1:1" x14ac:dyDescent="0.25">
      <c r="A40" s="16" t="str">
        <f>HYPERLINK("https://rabota.by/resume/464fac8400096005b50013a3fa746f4c457662","Экономист")</f>
        <v>Экономист</v>
      </c>
    </row>
    <row r="41" spans="1:1" x14ac:dyDescent="0.25">
      <c r="A41" s="16" t="str">
        <f>HYPERLINK("https://rabota.by/resume/a9db5a1600059ac95e0013a3fa465674726a36","Менеджер-экономист")</f>
        <v>Менеджер-экономист</v>
      </c>
    </row>
    <row r="42" spans="1:1" x14ac:dyDescent="0.25">
      <c r="A42" s="16" t="str">
        <f>HYPERLINK("https://rabota.by/resume/7bc51b920007fdb0650013a3fa4749616e484f","Логист,инженер-экономист")</f>
        <v>Логист,инженер-экономист</v>
      </c>
    </row>
    <row r="43" spans="1:1" x14ac:dyDescent="0.25">
      <c r="A43" s="16" t="str">
        <f>HYPERLINK("https://rabota.by/resume/99f53e7b00076bd8eb0013a3fa6b7171636c6d","Экономист-бухгалтер")</f>
        <v>Экономист-бухгалтер</v>
      </c>
    </row>
    <row r="44" spans="1:1" x14ac:dyDescent="0.25">
      <c r="A44" s="16" t="str">
        <f>HYPERLINK("https://rabota.by/resume/ba9c3cdb0008e77dc10013a3fa6342355a7054","Экономист")</f>
        <v>Экономист</v>
      </c>
    </row>
    <row r="45" spans="1:1" x14ac:dyDescent="0.25">
      <c r="A45" s="16" t="str">
        <f>HYPERLINK("https://rabota.by/resume/4e11bfda00082587f60013a3fa336a58575446","Менеджер-экономист")</f>
        <v>Менеджер-экономист</v>
      </c>
    </row>
    <row r="46" spans="1:1" x14ac:dyDescent="0.25">
      <c r="A46" s="16" t="str">
        <f>HYPERLINK("https://rabota.by/resume/1651c6180007f7ddef0013a3fa67783447704f","Банковский сотрудник, экономист, бухгалтер")</f>
        <v>Банковский сотрудник, экономист, бухгалтер</v>
      </c>
    </row>
    <row r="47" spans="1:1" x14ac:dyDescent="0.25">
      <c r="A47" s="16" t="str">
        <f>HYPERLINK("https://rabota.by/resume/9cd1028c0007100c340013a3fa354c70506a7a","Экономист, бухгалтер")</f>
        <v>Экономист, бухгалтер</v>
      </c>
    </row>
    <row r="48" spans="1:1" x14ac:dyDescent="0.25">
      <c r="A48" s="16" t="str">
        <f>HYPERLINK("https://rabota.by/resume/8774597c00014d23970013a3fa71356c516948","Бухгалтер-экономист")</f>
        <v>Бухгалтер-экономист</v>
      </c>
    </row>
    <row r="49" spans="1:1" x14ac:dyDescent="0.25">
      <c r="A49" s="16" t="str">
        <f>HYPERLINK("https://rabota.by/resume/249a531200087a4ea30013a3fa463151354766","Бухгалтер-экономист")</f>
        <v>Бухгалтер-экономист</v>
      </c>
    </row>
    <row r="50" spans="1:1" x14ac:dyDescent="0.25">
      <c r="A50" s="16" t="str">
        <f>HYPERLINK("https://rabota.by/resume/3cbd864c0002c1cfa70013a3fa616d53654e38","Экономист")</f>
        <v>Экономист</v>
      </c>
    </row>
    <row r="51" spans="1:1" x14ac:dyDescent="0.25">
      <c r="A51" s="16" t="str">
        <f>HYPERLINK("https://rabota.by/resume/4ab5c773000642b1fd0013a3fa6467397a5463","Бухгалтер-экономист")</f>
        <v>Бухгалтер-экономист</v>
      </c>
    </row>
    <row r="52" spans="1:1" x14ac:dyDescent="0.25">
      <c r="A52" s="16" t="str">
        <f>HYPERLINK("https://rabota.by/resume/b3b16003000838f4150013a3fa735a7a624932","Экономист-бухгалтер")</f>
        <v>Экономист-бухгалтер</v>
      </c>
    </row>
    <row r="53" spans="1:1" x14ac:dyDescent="0.25">
      <c r="A53" s="16" t="str">
        <f>HYPERLINK("https://rabota.by/resume/d44dc93e00077d15100013a3fa753546344937","Менеджер-экономист")</f>
        <v>Менеджер-экономист</v>
      </c>
    </row>
    <row r="54" spans="1:1" x14ac:dyDescent="0.25">
      <c r="A54" s="16" t="str">
        <f>HYPERLINK("https://rabota.by/resume/79ae198a000850ae000013a3fa434561416755","экономист")</f>
        <v>экономист</v>
      </c>
    </row>
    <row r="55" spans="1:1" x14ac:dyDescent="0.25">
      <c r="A55" s="16" t="str">
        <f>HYPERLINK("https://rabota.by/resume/cd2fa4260003fe824d0013a3fa3870754b696e","Экономист")</f>
        <v>Экономист</v>
      </c>
    </row>
    <row r="56" spans="1:1" x14ac:dyDescent="0.25">
      <c r="A56" s="16" t="str">
        <f>HYPERLINK("https://rabota.by/resume/ccee37560009391a0f0013a3fa43626a624259","Экономист-аналитик")</f>
        <v>Экономист-аналитик</v>
      </c>
    </row>
    <row r="57" spans="1:1" x14ac:dyDescent="0.25">
      <c r="A57" s="16" t="str">
        <f>HYPERLINK("https://rabota.by/resume/e1c4741c000335588d0013a3fa394e6d337666","Экономист,менеджер")</f>
        <v>Экономист,менеджер</v>
      </c>
    </row>
    <row r="58" spans="1:1" x14ac:dyDescent="0.25">
      <c r="A58" s="16" t="str">
        <f>HYPERLINK("https://rabota.by/resume/bd78b886000279557c0013a3fa3276336a4b75","Бухгалтер, экономист")</f>
        <v>Бухгалтер, экономист</v>
      </c>
    </row>
    <row r="59" spans="1:1" x14ac:dyDescent="0.25">
      <c r="A59" s="16" t="str">
        <f>HYPERLINK("https://rabota.by/resume/9a97050f0008f286020013a3fa4b6537794946","Заместитель/Экономист/Финансовый аналитик")</f>
        <v>Заместитель/Экономист/Финансовый аналитик</v>
      </c>
    </row>
    <row r="60" spans="1:1" x14ac:dyDescent="0.25">
      <c r="A60" s="16" t="str">
        <f>HYPERLINK("https://rabota.by/resume/03014e4700098ed71c0013a3fa7a7672796e78","Бухгалтер-экономист")</f>
        <v>Бухгалтер-экономист</v>
      </c>
    </row>
    <row r="61" spans="1:1" x14ac:dyDescent="0.25">
      <c r="A61" s="16" t="str">
        <f>HYPERLINK("https://rabota.by/resume/8bd3836e00021e34310013a3fa4c6f6151696c","Экономист-аналитик")</f>
        <v>Экономист-аналитик</v>
      </c>
    </row>
    <row r="62" spans="1:1" x14ac:dyDescent="0.25">
      <c r="A62" s="16" t="str">
        <f>HYPERLINK("https://rabota.by/resume/e8ab8e0e000521507e0013a3fa305650565262","Экономист-маркетолог")</f>
        <v>Экономист-маркетолог</v>
      </c>
    </row>
    <row r="63" spans="1:1" x14ac:dyDescent="0.25">
      <c r="A63" s="16" t="str">
        <f>HYPERLINK("https://rabota.by/resume/187133400004f335f00013a3fa554b3462774c","Экономист-бухгалтер")</f>
        <v>Экономист-бухгалтер</v>
      </c>
    </row>
    <row r="64" spans="1:1" x14ac:dyDescent="0.25">
      <c r="A64" s="16" t="str">
        <f>HYPERLINK("https://rabota.by/resume/20148a36000746fb370013a3fa745067677961","Менеджер офиса продаж, экономист")</f>
        <v>Менеджер офиса продаж, экономист</v>
      </c>
    </row>
    <row r="65" spans="1:1" x14ac:dyDescent="0.25">
      <c r="A65" s="16" t="str">
        <f>HYPERLINK("https://rabota.by/resume/9f5cf14f00040cb67c0013a3fa3158526a6d6f","Экономист")</f>
        <v>Экономист</v>
      </c>
    </row>
    <row r="66" spans="1:1" x14ac:dyDescent="0.25">
      <c r="A66" s="16" t="str">
        <f>HYPERLINK("https://rabota.by/resume/383e800e00071b615e0013a3fa6a366b713463","Экономист")</f>
        <v>Экономист</v>
      </c>
    </row>
    <row r="67" spans="1:1" x14ac:dyDescent="0.25">
      <c r="A67" s="16" t="str">
        <f>HYPERLINK("https://rabota.by/resume/7911408e00016cccfb0013a3fa6a6a4575564b","Бухгалтер-экономист")</f>
        <v>Бухгалтер-экономист</v>
      </c>
    </row>
    <row r="68" spans="1:1" x14ac:dyDescent="0.25">
      <c r="A68" s="16" t="str">
        <f>HYPERLINK("https://rabota.by/resume/0699a4ef0008a979370013a3fa4957504a796a","экономист")</f>
        <v>экономист</v>
      </c>
    </row>
    <row r="69" spans="1:1" x14ac:dyDescent="0.25">
      <c r="A69" s="16" t="str">
        <f>HYPERLINK("https://rabota.by/resume/783c710a00095664cc0013a3fa576878683233","Специалист, администратор, экономист")</f>
        <v>Специалист, администратор, экономист</v>
      </c>
    </row>
    <row r="70" spans="1:1" x14ac:dyDescent="0.25">
      <c r="A70" s="16" t="str">
        <f>HYPERLINK("https://rabota.by/resume/70627af2000355aff40013a3fa676265425034","Ведущий инженер,ведущий экономист")</f>
        <v>Ведущий инженер,ведущий экономист</v>
      </c>
    </row>
    <row r="71" spans="1:1" x14ac:dyDescent="0.25">
      <c r="A71" s="16" t="str">
        <f>HYPERLINK("https://rabota.by/resume/ce5dff7e000868dec60013a3fa30565a57644f","Главный экономист")</f>
        <v>Главный экономист</v>
      </c>
    </row>
    <row r="72" spans="1:1" x14ac:dyDescent="0.25">
      <c r="A72" s="16" t="str">
        <f>HYPERLINK("https://rabota.by/resume/05728c2400097a2c940013a3fa587a42497a50","Заведующий магазина, (отдела), экономист, бухгалтер")</f>
        <v>Заведующий магазина, (отдела), экономист, бухгалтер</v>
      </c>
    </row>
    <row r="73" spans="1:1" x14ac:dyDescent="0.25">
      <c r="A73" s="16" t="str">
        <f>HYPERLINK("https://rabota.by/resume/43fc21e100081af97e0013a3fa645964487877","Ведущий экономист")</f>
        <v>Ведущий экономист</v>
      </c>
    </row>
    <row r="74" spans="1:1" x14ac:dyDescent="0.25">
      <c r="A74" s="16" t="str">
        <f>HYPERLINK("https://rabota.by/resume/46372aa400097455c70013a3fa493333475368","Экономист-бухгалтер")</f>
        <v>Экономист-бухгалтер</v>
      </c>
    </row>
    <row r="75" spans="1:1" x14ac:dyDescent="0.25">
      <c r="A75" s="16" t="str">
        <f>HYPERLINK("https://rabota.by/resume/9fd77d7a000982fe800013a3fa6d6a44743875","Экономист по МСФО")</f>
        <v>Экономист по МСФО</v>
      </c>
    </row>
    <row r="76" spans="1:1" x14ac:dyDescent="0.25">
      <c r="A76" s="16" t="str">
        <f>HYPERLINK("https://rabota.by/resume/a7b7720b00092c94e50013a3fa686752484550","Экономист")</f>
        <v>Экономист</v>
      </c>
    </row>
    <row r="77" spans="1:1" x14ac:dyDescent="0.25">
      <c r="A77" s="16" t="str">
        <f>HYPERLINK("https://rabota.by/resume/13939a73000604d24a0013a3fa68334e385344","Главный инженер, начальник отдела закупок, экономист по снабжению, главный механик, инженер-механик")</f>
        <v>Главный инженер, начальник отдела закупок, экономист по снабжению, главный механик, инженер-механик</v>
      </c>
    </row>
    <row r="78" spans="1:1" x14ac:dyDescent="0.25">
      <c r="A78" s="16" t="str">
        <f>HYPERLINK("https://rabota.by/resume/305be1430003d2186f0013a3fa78696f774538","Экономист")</f>
        <v>Экономист</v>
      </c>
    </row>
    <row r="79" spans="1:1" x14ac:dyDescent="0.25">
      <c r="A79" s="16" t="str">
        <f>HYPERLINK("https://rabota.by/resume/d5639ae100096957c10013a3fa575a4f385164","Экономист")</f>
        <v>Экономист</v>
      </c>
    </row>
    <row r="80" spans="1:1" x14ac:dyDescent="0.25">
      <c r="A80" s="16" t="str">
        <f>HYPERLINK("https://rabota.by/resume/dff6c53a000581cebd0013a3fa4a4d46304f79","Экономист-финансист,экономист,бухгалтер,другая")</f>
        <v>Экономист-финансист,экономист,бухгалтер,другая</v>
      </c>
    </row>
    <row r="81" spans="1:1" x14ac:dyDescent="0.25">
      <c r="A81" s="16" t="str">
        <f>HYPERLINK("https://rabota.by/resume/d92c92510005ab32700013a3fa643438674166","Менеджер-экономист")</f>
        <v>Менеджер-экономист</v>
      </c>
    </row>
    <row r="82" spans="1:1" x14ac:dyDescent="0.25">
      <c r="A82" s="16" t="str">
        <f>HYPERLINK("https://rabota.by/resume/264437620003d943c60013a3fa4b63527a3673","Экономист, инженер")</f>
        <v>Экономист, инженер</v>
      </c>
    </row>
    <row r="83" spans="1:1" x14ac:dyDescent="0.25">
      <c r="A83" s="16" t="str">
        <f>HYPERLINK("https://rabota.by/resume/fa96da0b000909702f0013a3fa7a7966374552","Экономист")</f>
        <v>Экономист</v>
      </c>
    </row>
    <row r="84" spans="1:1" x14ac:dyDescent="0.25">
      <c r="A84" s="16" t="str">
        <f>HYPERLINK("https://rabota.by/resume/3ad8414600025eb1ca0013a3fa55426238694b","Бухгалтер, экономист, продавец-консультант")</f>
        <v>Бухгалтер, экономист, продавец-консультант</v>
      </c>
    </row>
    <row r="85" spans="1:1" x14ac:dyDescent="0.25">
      <c r="A85" s="16" t="str">
        <f>HYPERLINK("https://rabota.by/resume/a4d5137700012646710013a3fa513253307273","Финансист (финансовый аналитик - экономист)")</f>
        <v>Финансист (финансовый аналитик - экономист)</v>
      </c>
    </row>
    <row r="86" spans="1:1" x14ac:dyDescent="0.25">
      <c r="A86" s="16" t="str">
        <f>HYPERLINK("https://rabota.by/resume/1e6fc24900096895f30013a3fa69367864395a","Экономист")</f>
        <v>Экономист</v>
      </c>
    </row>
    <row r="87" spans="1:1" x14ac:dyDescent="0.25">
      <c r="A87" s="16" t="str">
        <f>HYPERLINK("https://rabota.by/resume/249e341f000991940b0013a3fa674732745872","Ведущий экономист")</f>
        <v>Ведущий экономист</v>
      </c>
    </row>
    <row r="88" spans="1:1" x14ac:dyDescent="0.25">
      <c r="A88" s="16" t="str">
        <f>HYPERLINK("https://rabota.by/resume/44d6ef120002b8bb1e0013a3fa3970556b4f6b","Бухгалтер-экономист")</f>
        <v>Бухгалтер-экономист</v>
      </c>
    </row>
    <row r="89" spans="1:1" x14ac:dyDescent="0.25">
      <c r="A89" s="16" t="str">
        <f>HYPERLINK("https://rabota.by/resume/0333d9660008a3e7ee0013a3fa6f3454786a53","Торговый агент, логист, менеджер по продажам, экономист")</f>
        <v>Торговый агент, логист, менеджер по продажам, экономист</v>
      </c>
    </row>
    <row r="90" spans="1:1" x14ac:dyDescent="0.25">
      <c r="A90" s="16" t="str">
        <f>HYPERLINK("https://rabota.by/resume/f80508f20001fd57220013a3fa4c63524f574a","Экономист-калькулятор, бухгалтер")</f>
        <v>Экономист-калькулятор, бухгалтер</v>
      </c>
    </row>
    <row r="91" spans="1:1" x14ac:dyDescent="0.25">
      <c r="A91" s="16" t="str">
        <f>HYPERLINK("https://rabota.by/resume/9db16a530001ab78030013a3fa357457615557","Главный экономист, специалист по работе с клиентами")</f>
        <v>Главный экономист, специалист по работе с клиентами</v>
      </c>
    </row>
    <row r="92" spans="1:1" x14ac:dyDescent="0.25">
      <c r="A92" s="16" t="str">
        <f>HYPERLINK("https://rabota.by/resume/eebf86b5000827775b0013a3fa56397630474f","бухгалтер, экономист, специалист")</f>
        <v>бухгалтер, экономист, специалист</v>
      </c>
    </row>
    <row r="93" spans="1:1" x14ac:dyDescent="0.25">
      <c r="A93" s="16" t="str">
        <f>HYPERLINK("https://rabota.by/resume/26ce15010009469c7e0013a3fa6a6b6761766a","Экономист, специалист по закупкам")</f>
        <v>Экономист, специалист по закупкам</v>
      </c>
    </row>
    <row r="94" spans="1:1" x14ac:dyDescent="0.25">
      <c r="A94" s="16" t="str">
        <f>HYPERLINK("https://rabota.by/resume/ee2c23640001becc4c0013a3fa667a7058364b","экономист, оператор ПК, секретарь, специалист по ВЭД")</f>
        <v>экономист, оператор ПК, секретарь, специалист по ВЭД</v>
      </c>
    </row>
    <row r="95" spans="1:1" x14ac:dyDescent="0.25">
      <c r="A95" s="16" t="str">
        <f>HYPERLINK("https://rabota.by/resume/69536c890003b1c9a10013a3fa363458456e59","Ведущий экономист по снабжению и сбыту, начальник сектора")</f>
        <v>Ведущий экономист по снабжению и сбыту, начальник сектора</v>
      </c>
    </row>
    <row r="96" spans="1:1" x14ac:dyDescent="0.25">
      <c r="A96" s="16" t="str">
        <f>HYPERLINK("https://rabota.by/resume/b52226270005c0d7820013a3fa796273555751","Главный бухгалтер, экономист")</f>
        <v>Главный бухгалтер, экономист</v>
      </c>
    </row>
    <row r="97" spans="1:1" x14ac:dyDescent="0.25">
      <c r="A97" s="16" t="str">
        <f>HYPERLINK("https://rabota.by/resume/27150f22000589628e0013a3fa6c554d756370","Экономист, бухгалтер")</f>
        <v>Экономист, бухгалтер</v>
      </c>
    </row>
    <row r="98" spans="1:1" x14ac:dyDescent="0.25">
      <c r="A98" s="16" t="str">
        <f>HYPERLINK("https://rabota.by/resume/65b748ea000116162c0013a3fa51676a386e57","Специалист по снабжению, зам начальника (начальник)отдела снабжения, экономист")</f>
        <v>Специалист по снабжению, зам начальника (начальник)отдела снабжения, экономист</v>
      </c>
    </row>
    <row r="99" spans="1:1" x14ac:dyDescent="0.25">
      <c r="A99" s="16" t="str">
        <f>HYPERLINK("https://rabota.by/resume/b2a95cc90008a95db90013a3fa6249766f715a","Экономист")</f>
        <v>Экономист</v>
      </c>
    </row>
    <row r="100" spans="1:1" x14ac:dyDescent="0.25">
      <c r="A100" s="16" t="str">
        <f>HYPERLINK("https://rabota.by/resume/1ebc7bde00022004dc0013a3fa573943384130","Бухгалтер, экономист")</f>
        <v>Бухгалтер, экономист</v>
      </c>
    </row>
    <row r="101" spans="1:1" x14ac:dyDescent="0.25">
      <c r="A101" s="16" t="str">
        <f>HYPERLINK("https://rabota.by/resume/a1fe52a50005157ed40013a3fa555238556270","Экономист")</f>
        <v>Экономист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31" sqref="F31"/>
    </sheetView>
  </sheetViews>
  <sheetFormatPr defaultRowHeight="15" x14ac:dyDescent="0.25"/>
  <cols>
    <col min="1" max="1" width="61.85546875" customWidth="1"/>
    <col min="2" max="2" width="3.28515625" customWidth="1"/>
    <col min="3" max="3" width="3.7109375" customWidth="1"/>
    <col min="4" max="4" width="57.28515625" bestFit="1" customWidth="1"/>
    <col min="5" max="5" width="4.42578125" customWidth="1"/>
  </cols>
  <sheetData>
    <row r="1" spans="1:6" x14ac:dyDescent="0.25">
      <c r="A1" t="s">
        <v>709</v>
      </c>
      <c r="D1" t="s">
        <v>710</v>
      </c>
    </row>
    <row r="2" spans="1:6" x14ac:dyDescent="0.25">
      <c r="A2" s="16" t="str">
        <f>HYPERLINK("https://rabota.by/resume/156bc8fd000894874f0013a3fa52703347446f","Кладовщик")</f>
        <v>Кладовщик</v>
      </c>
      <c r="D2" s="16" t="str">
        <f>HYPERLINK("https://rabota.by/vacancy/51089533","Кладовщик-комплектовщик (ВАХТА)")</f>
        <v>Кладовщик-комплектовщик (ВАХТА)</v>
      </c>
      <c r="F2" t="s">
        <v>711</v>
      </c>
    </row>
    <row r="3" spans="1:6" x14ac:dyDescent="0.25">
      <c r="A3" s="16" t="str">
        <f>HYPERLINK("https://rabota.by/resume/f3f1c51c00038cc04f0013a3fa6e78346d3865","Продавец-консультант , кладовщик, мерчендайзер")</f>
        <v>Продавец-консультант , кладовщик, мерчендайзер</v>
      </c>
      <c r="D3" s="16" t="str">
        <f>HYPERLINK("https://rabota.by/vacancy/50795456","Кладовщик-грузчик")</f>
        <v>Кладовщик-грузчик</v>
      </c>
      <c r="F3" t="s">
        <v>712</v>
      </c>
    </row>
    <row r="4" spans="1:6" x14ac:dyDescent="0.25">
      <c r="A4" s="16" t="str">
        <f>HYPERLINK("https://rabota.by/resume/1d7c400500098699c10013a3fa6f70417a6f32","Кладовщик")</f>
        <v>Кладовщик</v>
      </c>
      <c r="D4" s="16" t="str">
        <f>HYPERLINK("https://rabota.by/vacancy/51217715","Кладовщик")</f>
        <v>Кладовщик</v>
      </c>
      <c r="F4" t="s">
        <v>713</v>
      </c>
    </row>
    <row r="5" spans="1:6" x14ac:dyDescent="0.25">
      <c r="A5" s="16" t="str">
        <f>HYPERLINK("https://rabota.by/resume/122152ba00095bcf9e0013a3fa4639574a574e","Кладовщик-грузчик")</f>
        <v>Кладовщик-грузчик</v>
      </c>
      <c r="D5" s="16" t="str">
        <f>HYPERLINK("https://rabota.by/vacancy/51033178","Кладовщик")</f>
        <v>Кладовщик</v>
      </c>
      <c r="F5" t="s">
        <v>714</v>
      </c>
    </row>
    <row r="6" spans="1:6" x14ac:dyDescent="0.25">
      <c r="A6" s="16" t="str">
        <f>HYPERLINK("https://rabota.by/resume/752991d8000993661f0013a3fa69584f7a574d","кладовщик, готов к обучению, открыт к предложениям")</f>
        <v>кладовщик, готов к обучению, открыт к предложениям</v>
      </c>
      <c r="D6" s="16" t="str">
        <f>HYPERLINK("https://rabota.by/vacancy/50998515","Кладовщик")</f>
        <v>Кладовщик</v>
      </c>
      <c r="F6" t="s">
        <v>715</v>
      </c>
    </row>
    <row r="7" spans="1:6" x14ac:dyDescent="0.25">
      <c r="A7" s="16" t="str">
        <f>HYPERLINK("https://rabota.by/resume/e2368b750008fa795e0013a3fa515736786b6d","Кладовщик")</f>
        <v>Кладовщик</v>
      </c>
      <c r="D7" s="16" t="str">
        <f>HYPERLINK("https://rabota.by/vacancy/50991947","Кладовщик")</f>
        <v>Кладовщик</v>
      </c>
      <c r="F7" t="s">
        <v>716</v>
      </c>
    </row>
    <row r="8" spans="1:6" x14ac:dyDescent="0.25">
      <c r="A8" s="16" t="str">
        <f>HYPERLINK("https://rabota.by/resume/f58e4f9b0009914d120013a3fa52307a436e31","Кладовщик, тренер, формовщик.")</f>
        <v>Кладовщик, тренер, формовщик.</v>
      </c>
      <c r="D8" s="16" t="str">
        <f>HYPERLINK("https://rabota.by/vacancy/50886783","Кладовщик-комплектовщик")</f>
        <v>Кладовщик-комплектовщик</v>
      </c>
    </row>
    <row r="9" spans="1:6" x14ac:dyDescent="0.25">
      <c r="A9" s="16" t="str">
        <f>HYPERLINK("https://rabota.by/resume/ce57a4a60007b1b57a0013a3fa445962376959","Кладовщик, мастер цеха")</f>
        <v>Кладовщик, мастер цеха</v>
      </c>
      <c r="D9" s="16" t="str">
        <f>HYPERLINK("https://rabota.by/vacancy/50884026","Кладовщик")</f>
        <v>Кладовщик</v>
      </c>
      <c r="F9" t="s">
        <v>715</v>
      </c>
    </row>
    <row r="10" spans="1:6" x14ac:dyDescent="0.25">
      <c r="A10" s="16" t="str">
        <f>HYPERLINK("https://rabota.by/resume/f0b3ca840004189c110013a3fa6d4646766a64","Кладовщик")</f>
        <v>Кладовщик</v>
      </c>
      <c r="D10" s="16" t="str">
        <f>HYPERLINK("https://rabota.by/vacancy/50847452","Кладовщик")</f>
        <v>Кладовщик</v>
      </c>
      <c r="F10" t="s">
        <v>717</v>
      </c>
    </row>
    <row r="11" spans="1:6" x14ac:dyDescent="0.25">
      <c r="A11" s="16" t="str">
        <f>HYPERLINK("https://rabota.by/resume/2880b75200092489f70013a3fa5857764c5553","Кладовщик-комплектовщик")</f>
        <v>Кладовщик-комплектовщик</v>
      </c>
      <c r="D11" s="16" t="str">
        <f>HYPERLINK("https://rabota.by/vacancy/50133057","Кладовщик")</f>
        <v>Кладовщик</v>
      </c>
      <c r="F11" t="s">
        <v>718</v>
      </c>
    </row>
    <row r="12" spans="1:6" x14ac:dyDescent="0.25">
      <c r="A12" s="16" t="str">
        <f>HYPERLINK("https://rabota.by/resume/5421a05b0009935ae80013a3fa6d6b426a6c39","Кладовщик")</f>
        <v>Кладовщик</v>
      </c>
      <c r="D12" s="16" t="str">
        <f>HYPERLINK("https://rabota.by/vacancy/49304617","Кладовщик")</f>
        <v>Кладовщик</v>
      </c>
    </row>
    <row r="13" spans="1:6" x14ac:dyDescent="0.25">
      <c r="A13" s="16" t="str">
        <f>HYPERLINK("https://rabota.by/resume/8c0d2e7f00035eed2e0013a3fa334a6f4a4565","Зав. складом.Кладовщик.Оператор.")</f>
        <v>Зав. складом.Кладовщик.Оператор.</v>
      </c>
      <c r="D13" s="16" t="str">
        <f>HYPERLINK("https://rabota.by/vacancy/50770439","Кладовщик-грузчик")</f>
        <v>Кладовщик-грузчик</v>
      </c>
    </row>
    <row r="14" spans="1:6" x14ac:dyDescent="0.25">
      <c r="A14" s="16" t="str">
        <f>HYPERLINK("https://rabota.by/resume/46c184c9000998a1470013a3fa6136535a6532","Кладовщик-комплектовщик")</f>
        <v>Кладовщик-комплектовщик</v>
      </c>
      <c r="D14" s="16" t="str">
        <f>HYPERLINK("https://rabota.by/vacancy/50611829","Кладовщик")</f>
        <v>Кладовщик</v>
      </c>
    </row>
    <row r="15" spans="1:6" x14ac:dyDescent="0.25">
      <c r="A15" s="16" t="str">
        <f>HYPERLINK("https://rabota.by/resume/69a462bc0002a654a80013a3fa696762484c6b","Кладовщик-комплектовщик")</f>
        <v>Кладовщик-комплектовщик</v>
      </c>
      <c r="D15" s="16" t="str">
        <f>HYPERLINK("https://rabota.by/vacancy/50633644","Кладовщик")</f>
        <v>Кладовщик</v>
      </c>
    </row>
    <row r="16" spans="1:6" x14ac:dyDescent="0.25">
      <c r="A16" s="16" t="str">
        <f>HYPERLINK("https://rabota.by/resume/bd491f3500096c8e530013a3fa443644427745","Кладовщик-грузчик")</f>
        <v>Кладовщик-грузчик</v>
      </c>
      <c r="D16" s="16" t="str">
        <f>HYPERLINK("https://rabota.by/vacancy/51124811","Кладовщик")</f>
        <v>Кладовщик</v>
      </c>
      <c r="F16" t="s">
        <v>719</v>
      </c>
    </row>
    <row r="17" spans="1:6" x14ac:dyDescent="0.25">
      <c r="A17" s="16" t="str">
        <f>HYPERLINK("https://rabota.by/resume/51d0db2600099847db0013a3fa3750787a6778","Кладовщик")</f>
        <v>Кладовщик</v>
      </c>
      <c r="D17" s="16" t="str">
        <f>HYPERLINK("https://rabota.by/vacancy/51078723","Кладовщик в склад запасных частей")</f>
        <v>Кладовщик в склад запасных частей</v>
      </c>
    </row>
    <row r="18" spans="1:6" x14ac:dyDescent="0.25">
      <c r="A18" s="16" t="str">
        <f>HYPERLINK("https://rabota.by/resume/66384c68000987e6a50013a3fa5637526f5545","Кладовщик-комплектовщик")</f>
        <v>Кладовщик-комплектовщик</v>
      </c>
      <c r="D18" s="16" t="str">
        <f>HYPERLINK("https://rabota.by/vacancy/50796921","Кладовщик-комплектовщик")</f>
        <v>Кладовщик-комплектовщик</v>
      </c>
      <c r="F18" t="s">
        <v>720</v>
      </c>
    </row>
    <row r="19" spans="1:6" x14ac:dyDescent="0.25">
      <c r="A19" s="16" t="str">
        <f>HYPERLINK("https://rabota.by/resume/3434c4d000099819750013a3fa6e354c396347","Кладовщик-комплектовщик")</f>
        <v>Кладовщик-комплектовщик</v>
      </c>
      <c r="D19" s="16" t="str">
        <f>HYPERLINK("https://rabota.by/vacancy/50602213","Кладовщик")</f>
        <v>Кладовщик</v>
      </c>
      <c r="F19" t="s">
        <v>714</v>
      </c>
    </row>
    <row r="20" spans="1:6" x14ac:dyDescent="0.25">
      <c r="A20" s="16" t="str">
        <f>HYPERLINK("https://rabota.by/resume/fed2685e000828f6170013a3fa394f75413370","Работник склада, специалист качества, кладовщик, бригадир,")</f>
        <v>Работник склада, специалист качества, кладовщик, бригадир,</v>
      </c>
      <c r="D20" s="16" t="str">
        <f>HYPERLINK("https://rabota.by/vacancy/51179715","Кладовщик-грузчик")</f>
        <v>Кладовщик-грузчик</v>
      </c>
      <c r="F20" t="s">
        <v>721</v>
      </c>
    </row>
    <row r="21" spans="1:6" x14ac:dyDescent="0.25">
      <c r="A21" s="16" t="str">
        <f>HYPERLINK("https://rabota.by/resume/2a5300500009978c100013a3fa375166335a72","Кладовщик-комплектовщик")</f>
        <v>Кладовщик-комплектовщик</v>
      </c>
      <c r="D21" s="16" t="str">
        <f>HYPERLINK("https://rabota.by/vacancy/50613416","Кладовщик на склад автозапчастей бывших в употреблении")</f>
        <v>Кладовщик на склад автозапчастей бывших в употреблении</v>
      </c>
      <c r="F21" t="s">
        <v>716</v>
      </c>
    </row>
    <row r="22" spans="1:6" x14ac:dyDescent="0.25">
      <c r="A22" s="16" t="str">
        <f>HYPERLINK("https://rabota.by/resume/6565e97800088565c60013a3fa677a7341624b","Кладовщик")</f>
        <v>Кладовщик</v>
      </c>
      <c r="D22" s="16" t="str">
        <f>HYPERLINK("https://rabota.by/vacancy/50812069","Кладовщик-грузчик")</f>
        <v>Кладовщик-грузчик</v>
      </c>
      <c r="F22" t="s">
        <v>722</v>
      </c>
    </row>
    <row r="23" spans="1:6" x14ac:dyDescent="0.25">
      <c r="A23" s="16" t="str">
        <f>HYPERLINK("https://rabota.by/resume/49d1c87f000840cee20013a3fa35347a6c7735","Кладовщик. Заведующий складом")</f>
        <v>Кладовщик. Заведующий складом</v>
      </c>
      <c r="D23" s="16" t="str">
        <f>HYPERLINK("https://rabota.by/vacancy/50804514","Кладовщик-грузчик")</f>
        <v>Кладовщик-грузчик</v>
      </c>
      <c r="F23" t="s">
        <v>715</v>
      </c>
    </row>
    <row r="24" spans="1:6" x14ac:dyDescent="0.25">
      <c r="A24" s="16" t="str">
        <f>HYPERLINK("https://rabota.by/resume/ceaa6656000905a09c0013a3fa59667978566a","Кладовщик, завсклада")</f>
        <v>Кладовщик, завсклада</v>
      </c>
      <c r="D24" s="16" t="str">
        <f>HYPERLINK("https://rabota.by/vacancy/50760481","Кладовщик-комплектовщик ВАХТА")</f>
        <v>Кладовщик-комплектовщик ВАХТА</v>
      </c>
      <c r="F24" t="s">
        <v>723</v>
      </c>
    </row>
    <row r="25" spans="1:6" x14ac:dyDescent="0.25">
      <c r="A25" s="16" t="str">
        <f>HYPERLINK("https://rabota.by/resume/9527fc48000996c3c90013a3fa41473044436d","Кладовщик")</f>
        <v>Кладовщик</v>
      </c>
      <c r="D25" s="16" t="str">
        <f>HYPERLINK("https://rabota.by/vacancy/50701805","Кладовщик 4 разряда")</f>
        <v>Кладовщик 4 разряда</v>
      </c>
      <c r="F25" t="s">
        <v>724</v>
      </c>
    </row>
    <row r="26" spans="1:6" x14ac:dyDescent="0.25">
      <c r="A26" s="16" t="str">
        <f>HYPERLINK("https://rabota.by/resume/623acb49000990dcea0013a3fa454477445748","Администратор, учётчик, кладовщик, упаковщик, сортировщик")</f>
        <v>Администратор, учётчик, кладовщик, упаковщик, сортировщик</v>
      </c>
    </row>
    <row r="27" spans="1:6" x14ac:dyDescent="0.25">
      <c r="A27" s="16" t="str">
        <f>HYPERLINK("https://rabota.by/resume/27ea151e00096d7aa50013a3fa503950303739","Кладовщик-комплектовщик")</f>
        <v>Кладовщик-комплектовщик</v>
      </c>
    </row>
    <row r="28" spans="1:6" x14ac:dyDescent="0.25">
      <c r="A28" s="16" t="str">
        <f>HYPERLINK("https://rabota.by/resume/561dd41f0002ea0ed70013a3fa5a6d334a5752","Заведующий складом(кладовщик)")</f>
        <v>Заведующий складом(кладовщик)</v>
      </c>
    </row>
    <row r="29" spans="1:6" x14ac:dyDescent="0.25">
      <c r="A29" s="16" t="str">
        <f>HYPERLINK("https://rabota.by/resume/5da6e80500037e51040013a3fa395058686f79","Кладовщик, заведующий складом")</f>
        <v>Кладовщик, заведующий складом</v>
      </c>
    </row>
    <row r="30" spans="1:6" x14ac:dyDescent="0.25">
      <c r="A30" s="16" t="str">
        <f>HYPERLINK("https://rabota.by/resume/437ae4c600097ce30e0013a3fa764d4d725356","Кладовщик-комплектовщик")</f>
        <v>Кладовщик-комплектовщик</v>
      </c>
    </row>
    <row r="31" spans="1:6" x14ac:dyDescent="0.25">
      <c r="A31" s="16" t="str">
        <f>HYPERLINK("https://rabota.by/resume/3e2b9b960005e4b82f0013a3fa467932364337","Специалист по приемке товаров - кладовщик")</f>
        <v>Специалист по приемке товаров - кладовщик</v>
      </c>
    </row>
    <row r="32" spans="1:6" x14ac:dyDescent="0.25">
      <c r="A32" s="16" t="str">
        <f>HYPERLINK("https://rabota.by/resume/a74a6c970009958b9a0013a3fa50776a4b6761","Кладовщик-комплектовщик")</f>
        <v>Кладовщик-комплектовщик</v>
      </c>
    </row>
    <row r="33" spans="1:1" x14ac:dyDescent="0.25">
      <c r="A33" s="16" t="str">
        <f>HYPERLINK("https://rabota.by/resume/efa50fbe00075c71f60013a3fa51477845576c","Заведующий складом,кладовщик")</f>
        <v>Заведующий складом,кладовщик</v>
      </c>
    </row>
    <row r="34" spans="1:1" x14ac:dyDescent="0.25">
      <c r="A34" s="16" t="str">
        <f>HYPERLINK("https://rabota.by/resume/9473054c000995658b0013a3fa615331347862","Кладовщик-комплектовщик")</f>
        <v>Кладовщик-комплектовщик</v>
      </c>
    </row>
    <row r="35" spans="1:1" x14ac:dyDescent="0.25">
      <c r="A35" s="16" t="str">
        <f>HYPERLINK("https://rabota.by/resume/888dd963000624abae0013a3fa566e54436535","Кладовщик")</f>
        <v>Кладовщик</v>
      </c>
    </row>
    <row r="36" spans="1:1" x14ac:dyDescent="0.25">
      <c r="A36" s="16" t="str">
        <f>HYPERLINK("https://rabota.by/resume/831a377c0005e2b2bb0013a3fa4b4978794238","Продавец-консультант, кладовщик")</f>
        <v>Продавец-консультант, кладовщик</v>
      </c>
    </row>
    <row r="37" spans="1:1" x14ac:dyDescent="0.25">
      <c r="A37" s="16" t="str">
        <f>HYPERLINK("https://rabota.by/resume/c8cccbf900098e0a850013a3fa77506f484174","Кладовщик-комплектовщик")</f>
        <v>Кладовщик-комплектовщик</v>
      </c>
    </row>
    <row r="38" spans="1:1" x14ac:dyDescent="0.25">
      <c r="A38" s="16" t="str">
        <f>HYPERLINK("https://rabota.by/resume/462d53e40002e5c9d70013a3fa6d6639505537","Кладовщик группы приемки, продавец.")</f>
        <v>Кладовщик группы приемки, продавец.</v>
      </c>
    </row>
    <row r="39" spans="1:1" x14ac:dyDescent="0.25">
      <c r="A39" s="16" t="str">
        <f>HYPERLINK("https://rabota.by/resume/df02bdca0007c98ed70013a3fa755661726553","Менеджер по продажам, кладовщик")</f>
        <v>Менеджер по продажам, кладовщик</v>
      </c>
    </row>
    <row r="40" spans="1:1" x14ac:dyDescent="0.25">
      <c r="A40" s="16" t="str">
        <f>HYPERLINK("https://rabota.by/resume/9971d343000779bc7f0013a3fa51686858454a","Кладовщик")</f>
        <v>Кладовщик</v>
      </c>
    </row>
    <row r="41" spans="1:1" x14ac:dyDescent="0.25">
      <c r="A41" s="16" t="str">
        <f>HYPERLINK("https://rabota.by/resume/e8cdf550000992d2210013a3fa55475358694b","Кладовщик")</f>
        <v>Кладовщик</v>
      </c>
    </row>
    <row r="42" spans="1:1" x14ac:dyDescent="0.25">
      <c r="A42" s="16" t="str">
        <f>HYPERLINK("https://rabota.by/resume/f9988b8500099403b00013a3fa7551524d7447","Кладовщик-комплектовщик")</f>
        <v>Кладовщик-комплектовщик</v>
      </c>
    </row>
    <row r="43" spans="1:1" x14ac:dyDescent="0.25">
      <c r="A43" s="16" t="str">
        <f>HYPERLINK("https://rabota.by/resume/35917856000985246b0013a3fa546d67356879","Кладовщик-комплектовщик")</f>
        <v>Кладовщик-комплектовщик</v>
      </c>
    </row>
    <row r="44" spans="1:1" x14ac:dyDescent="0.25">
      <c r="A44" s="16" t="str">
        <f>HYPERLINK("https://rabota.by/resume/139d53f2000993baf70013a3fa7053454c6e52","Кладовщик-комплектовщик")</f>
        <v>Кладовщик-комплектовщик</v>
      </c>
    </row>
    <row r="45" spans="1:1" x14ac:dyDescent="0.25">
      <c r="A45" s="16" t="str">
        <f>HYPERLINK("https://rabota.by/resume/1add4c9d00076683f70013a3fa555970493854","Кладовщик-оператор, зав. складом")</f>
        <v>Кладовщик-оператор, зав. складом</v>
      </c>
    </row>
    <row r="46" spans="1:1" x14ac:dyDescent="0.25">
      <c r="A46" s="16" t="str">
        <f>HYPERLINK("https://rabota.by/resume/5bfd74ca00061856280013a3fa6f3136796e55","Кладовщик 4го розряда")</f>
        <v>Кладовщик 4го розряда</v>
      </c>
    </row>
    <row r="47" spans="1:1" x14ac:dyDescent="0.25">
      <c r="A47" s="16" t="str">
        <f>HYPERLINK("https://rabota.by/resume/f50e8f4a00095312c30013a3fa4a4b71547134","Кладовщик-комплектовщик")</f>
        <v>Кладовщик-комплектовщик</v>
      </c>
    </row>
    <row r="48" spans="1:1" x14ac:dyDescent="0.25">
      <c r="A48" s="16" t="str">
        <f>HYPERLINK("https://rabota.by/resume/497295ae00060e94670013a3fa5250694b555a","Кладовщик-комплектовщик ВАХТА")</f>
        <v>Кладовщик-комплектовщик ВАХТА</v>
      </c>
    </row>
    <row r="49" spans="1:1" x14ac:dyDescent="0.25">
      <c r="A49" s="16" t="str">
        <f>HYPERLINK("https://rabota.by/resume/039b20370008b286c60013a3fa376346636f4c","Кладовщик")</f>
        <v>Кладовщик</v>
      </c>
    </row>
    <row r="50" spans="1:1" x14ac:dyDescent="0.25">
      <c r="A50" s="16" t="str">
        <f>HYPERLINK("https://rabota.by/resume/a3ad5c0200093d0ae50013a3fa434234767931","Кладовщик-комплектовщик")</f>
        <v>Кладовщик-комплектовщик</v>
      </c>
    </row>
    <row r="51" spans="1:1" x14ac:dyDescent="0.25">
      <c r="A51" s="16" t="str">
        <f>HYPERLINK("https://rabota.by/resume/783510850007c4b7b80013a3fa4f724d45794b","Кладовщик")</f>
        <v>Кладовщик</v>
      </c>
    </row>
    <row r="52" spans="1:1" x14ac:dyDescent="0.25">
      <c r="A52" s="16" t="str">
        <f>HYPERLINK("https://rabota.by/resume/8332f538000991a4ed0013a3fa6d52514a5339","Кладовщик-комплектовщик")</f>
        <v>Кладовщик-комплектовщик</v>
      </c>
    </row>
    <row r="53" spans="1:1" x14ac:dyDescent="0.25">
      <c r="A53" s="16" t="str">
        <f>HYPERLINK("https://rabota.by/resume/d13d7c77000236d5080013a3fa49775339394b","Кладовщик")</f>
        <v>Кладовщик</v>
      </c>
    </row>
    <row r="54" spans="1:1" x14ac:dyDescent="0.25">
      <c r="A54" s="16" t="str">
        <f>HYPERLINK("https://rabota.by/resume/11a611dd000991459a0013a3fa574f48695657","Кладовщик-комплектовщик")</f>
        <v>Кладовщик-комплектовщик</v>
      </c>
    </row>
    <row r="55" spans="1:1" x14ac:dyDescent="0.25">
      <c r="A55" s="16" t="str">
        <f>HYPERLINK("https://rabota.by/resume/61e9417f0008e909030013a3fa764c4d495076","Кладовщик")</f>
        <v>Кладовщик</v>
      </c>
    </row>
    <row r="56" spans="1:1" x14ac:dyDescent="0.25">
      <c r="A56" s="16" t="str">
        <f>HYPERLINK("https://rabota.by/resume/a946d2d50007a81d4f0013a3fa425036624649","Кладовщик-комплектовщик")</f>
        <v>Кладовщик-комплектовщик</v>
      </c>
    </row>
    <row r="57" spans="1:1" x14ac:dyDescent="0.25">
      <c r="A57" s="16" t="str">
        <f>HYPERLINK("https://rabota.by/resume/6f23c4580009907cbe0013a3fa517470334368","Кладовщик-комплектовщик")</f>
        <v>Кладовщик-комплектовщик</v>
      </c>
    </row>
    <row r="58" spans="1:1" x14ac:dyDescent="0.25">
      <c r="A58" s="16" t="str">
        <f>HYPERLINK("https://rabota.by/resume/32b9af900009906f3e0013a3fa337243455a44","Кладовщик-комплектовщик")</f>
        <v>Кладовщик-комплектовщик</v>
      </c>
    </row>
    <row r="59" spans="1:1" x14ac:dyDescent="0.25">
      <c r="A59" s="16" t="str">
        <f>HYPERLINK("https://rabota.by/resume/88bf53260001ea6bd40013a3fa485251696850","Зав.складом,зав отделом, кладовщик, товаровед")</f>
        <v>Зав.складом,зав отделом, кладовщик, товаровед</v>
      </c>
    </row>
    <row r="60" spans="1:1" x14ac:dyDescent="0.25">
      <c r="A60" s="16" t="str">
        <f>HYPERLINK("https://rabota.by/resume/c909e51f00093999000013a3fa58365a397432","Кладовщик")</f>
        <v>Кладовщик</v>
      </c>
    </row>
    <row r="61" spans="1:1" x14ac:dyDescent="0.25">
      <c r="A61" s="16" t="str">
        <f>HYPERLINK("https://rabota.by/resume/cc35222800098dc50a0013a3fa364f4e446873","Кладовщик-комплектовщик")</f>
        <v>Кладовщик-комплектовщик</v>
      </c>
    </row>
    <row r="62" spans="1:1" x14ac:dyDescent="0.25">
      <c r="A62" s="16" t="str">
        <f>HYPERLINK("https://rabota.by/resume/55065a9600098fd0190013a3fa4359444f4a42","Кладовщик")</f>
        <v>Кладовщик</v>
      </c>
    </row>
    <row r="63" spans="1:1" x14ac:dyDescent="0.25">
      <c r="A63" s="16" t="str">
        <f>HYPERLINK("https://rabota.by/resume/ea39e4ab00098f253f0013a3fa77624f484731","Кладовщик-комплектовщик")</f>
        <v>Кладовщик-комплектовщик</v>
      </c>
    </row>
    <row r="64" spans="1:1" x14ac:dyDescent="0.25">
      <c r="A64" s="16" t="str">
        <f>HYPERLINK("https://rabota.by/resume/015e2fd100098f64630013a3fa49764163414e","Кладовщик на склад автозапчастей бывших в употреблении")</f>
        <v>Кладовщик на склад автозапчастей бывших в употреблении</v>
      </c>
    </row>
    <row r="65" spans="1:1" x14ac:dyDescent="0.25">
      <c r="A65" s="16" t="str">
        <f>HYPERLINK("https://rabota.by/resume/bb26a4910007e6048c0013a3fa4e69304e3238","Кладовщик")</f>
        <v>Кладовщик</v>
      </c>
    </row>
    <row r="66" spans="1:1" x14ac:dyDescent="0.25">
      <c r="A66" s="16" t="str">
        <f>HYPERLINK("https://rabota.by/resume/5bb8fff900098edb3f0013a3fa656864347743","Кладовщик-комплектовщик")</f>
        <v>Кладовщик-комплектовщик</v>
      </c>
    </row>
    <row r="67" spans="1:1" x14ac:dyDescent="0.25">
      <c r="A67" s="16" t="str">
        <f>HYPERLINK("https://rabota.by/resume/6a0c642000031130330013a3fa383649534e67","Автослесарь, сварщик, разнорабочий, кладовщик, грузчик, специалист по работе с клиентами.")</f>
        <v>Автослесарь, сварщик, разнорабочий, кладовщик, грузчик, специалист по работе с клиентами.</v>
      </c>
    </row>
    <row r="68" spans="1:1" x14ac:dyDescent="0.25">
      <c r="A68" s="16" t="str">
        <f>HYPERLINK("https://rabota.by/resume/3d58b4910009370e530013a3fa39716d675146","Кладовщик-комплектовщик")</f>
        <v>Кладовщик-комплектовщик</v>
      </c>
    </row>
    <row r="69" spans="1:1" x14ac:dyDescent="0.25">
      <c r="A69" s="16" t="str">
        <f>HYPERLINK("https://rabota.by/resume/d6cd55ed00098de81d0013a3fa573475494737","Кладовщик-комплектовщик")</f>
        <v>Кладовщик-комплектовщик</v>
      </c>
    </row>
    <row r="70" spans="1:1" x14ac:dyDescent="0.25">
      <c r="A70" s="16" t="str">
        <f>HYPERLINK("https://rabota.by/resume/b079183e00084e793f0013a3fa675070415444","Кладовщик")</f>
        <v>Кладовщик</v>
      </c>
    </row>
    <row r="71" spans="1:1" x14ac:dyDescent="0.25">
      <c r="A71" s="16" t="str">
        <f>HYPERLINK("https://rabota.by/resume/e59e3063000821975b0013a3fa7568716f666d","Кладовщик")</f>
        <v>Кладовщик</v>
      </c>
    </row>
    <row r="72" spans="1:1" x14ac:dyDescent="0.25">
      <c r="A72" s="16" t="str">
        <f>HYPERLINK("https://rabota.by/resume/ae6c3cc300098d1d470013a3fa4b33424c576e","Кладовщик-комплектовщик")</f>
        <v>Кладовщик-комплектовщик</v>
      </c>
    </row>
    <row r="73" spans="1:1" x14ac:dyDescent="0.25">
      <c r="A73" s="16" t="str">
        <f>HYPERLINK("https://rabota.by/resume/e0ca587200098cc5df0013a3fa4c50384c6151","Кладовщик-комплектовщик")</f>
        <v>Кладовщик-комплектовщик</v>
      </c>
    </row>
    <row r="74" spans="1:1" x14ac:dyDescent="0.25">
      <c r="A74" s="16" t="str">
        <f>HYPERLINK("https://rabota.by/resume/1fd6859e00098ca08a0013a3fa52344b364337","Кладовщик (Водитель экспедитор)")</f>
        <v>Кладовщик (Водитель экспедитор)</v>
      </c>
    </row>
    <row r="75" spans="1:1" x14ac:dyDescent="0.25">
      <c r="A75" s="16" t="str">
        <f>HYPERLINK("https://rabota.by/resume/2a532a3d0009692fd70013a3fa4f3339726258","Кладовщик-комплектовщик")</f>
        <v>Кладовщик-комплектовщик</v>
      </c>
    </row>
    <row r="76" spans="1:1" x14ac:dyDescent="0.25">
      <c r="A76" s="16" t="str">
        <f>HYPERLINK("https://rabota.by/resume/b6f3b4e000098c318b0013a3fa35786b546459","Кладовщик-комплектовщик")</f>
        <v>Кладовщик-комплектовщик</v>
      </c>
    </row>
    <row r="77" spans="1:1" x14ac:dyDescent="0.25">
      <c r="A77" s="16" t="str">
        <f>HYPERLINK("https://rabota.by/resume/765dcea600075601e90013a3fa47316c556f56","кладовщик")</f>
        <v>кладовщик</v>
      </c>
    </row>
    <row r="78" spans="1:1" x14ac:dyDescent="0.25">
      <c r="A78" s="16" t="str">
        <f>HYPERLINK("https://rabota.by/resume/dbe10f0500098552270013a3fa316b3538706c","Кладовщик-комплектовщик")</f>
        <v>Кладовщик-комплектовщик</v>
      </c>
    </row>
    <row r="79" spans="1:1" x14ac:dyDescent="0.25">
      <c r="A79" s="16" t="str">
        <f>HYPERLINK("https://rabota.by/resume/cafefd370000ce2a6a0013a3fa6451794b4430","Заведующий складом (кладовщик)")</f>
        <v>Заведующий складом (кладовщик)</v>
      </c>
    </row>
    <row r="80" spans="1:1" x14ac:dyDescent="0.25">
      <c r="A80" s="16" t="str">
        <f>HYPERLINK("https://rabota.by/resume/997fd0bd0007bceb450013a3fa35377038456b","Кладовщик-комплектовщик")</f>
        <v>Кладовщик-комплектовщик</v>
      </c>
    </row>
    <row r="81" spans="1:1" x14ac:dyDescent="0.25">
      <c r="A81" s="16" t="str">
        <f>HYPERLINK("https://rabota.by/resume/da5809fa00080cfb220013a3fa58714b596a48","Кладовщик")</f>
        <v>Кладовщик</v>
      </c>
    </row>
    <row r="82" spans="1:1" x14ac:dyDescent="0.25">
      <c r="A82" s="16" t="str">
        <f>HYPERLINK("https://rabota.by/resume/f2274a060003f9a4af0013a3fa433759574130","Кладовщик-оператор")</f>
        <v>Кладовщик-оператор</v>
      </c>
    </row>
    <row r="83" spans="1:1" x14ac:dyDescent="0.25">
      <c r="A83" s="16" t="str">
        <f>HYPERLINK("https://rabota.by/resume/99ffcb2500098a87b50013a3fa42766d734b79","Кладовщик-комплектовщик")</f>
        <v>Кладовщик-комплектовщик</v>
      </c>
    </row>
    <row r="84" spans="1:1" x14ac:dyDescent="0.25">
      <c r="A84" s="16" t="str">
        <f>HYPERLINK("https://rabota.by/resume/5e8e935400090b61300013a3fa326666616a54","Кладовщик")</f>
        <v>Кладовщик</v>
      </c>
    </row>
    <row r="85" spans="1:1" x14ac:dyDescent="0.25">
      <c r="A85" s="16" t="str">
        <f>HYPERLINK("https://rabota.by/resume/cb55591d000971e9b00013a3fa344c44677a55","Кладовщик-комплектовщик ВАХТА")</f>
        <v>Кладовщик-комплектовщик ВАХТА</v>
      </c>
    </row>
    <row r="86" spans="1:1" x14ac:dyDescent="0.25">
      <c r="A86" s="16" t="str">
        <f>HYPERLINK("https://rabota.by/resume/1aefa4880008a2a91a0013a3fa35416569567a","Кладовщик")</f>
        <v>Кладовщик</v>
      </c>
    </row>
    <row r="87" spans="1:1" x14ac:dyDescent="0.25">
      <c r="A87" s="16" t="str">
        <f>HYPERLINK("https://rabota.by/resume/c1b836fd000907ee700013a3fa4358484d4679","Бухгалтер, кладовщик")</f>
        <v>Бухгалтер, кладовщик</v>
      </c>
    </row>
    <row r="88" spans="1:1" x14ac:dyDescent="0.25">
      <c r="A88" s="16" t="str">
        <f>HYPERLINK("https://rabota.by/resume/00e8d48d0008e76dbe0013a3fa626372655633","Кладовщик-комплектовщик")</f>
        <v>Кладовщик-комплектовщик</v>
      </c>
    </row>
    <row r="89" spans="1:1" x14ac:dyDescent="0.25">
      <c r="A89" s="16" t="str">
        <f>HYPERLINK("https://rabota.by/resume/6bf0af9000094648690013a3fa6a6877705744","Кладовщик")</f>
        <v>Кладовщик</v>
      </c>
    </row>
    <row r="90" spans="1:1" x14ac:dyDescent="0.25">
      <c r="A90" s="16" t="str">
        <f>HYPERLINK("https://rabota.by/resume/6f9321ac00073ded7f0013a3fa686252486955","Кладовщик")</f>
        <v>Кладовщик</v>
      </c>
    </row>
    <row r="91" spans="1:1" x14ac:dyDescent="0.25">
      <c r="A91" s="16" t="str">
        <f>HYPERLINK("https://rabota.by/resume/4a04bdb800072fb1820013a3fa61576f525467","Кладовщик")</f>
        <v>Кладовщик</v>
      </c>
    </row>
    <row r="92" spans="1:1" x14ac:dyDescent="0.25">
      <c r="A92" s="16" t="str">
        <f>HYPERLINK("https://rabota.by/resume/443a00c3000987868c0013a3fa6e6f53556753","Кладовщик-комплектовщик")</f>
        <v>Кладовщик-комплектовщик</v>
      </c>
    </row>
    <row r="93" spans="1:1" x14ac:dyDescent="0.25">
      <c r="A93" s="16" t="str">
        <f>HYPERLINK("https://rabota.by/resume/0ddaa0d2000987bc330013a3fa6d6c527a7a32","Кладовщик-комплектовщик ВАХТА")</f>
        <v>Кладовщик-комплектовщик ВАХТА</v>
      </c>
    </row>
    <row r="94" spans="1:1" x14ac:dyDescent="0.25">
      <c r="A94" s="16"/>
    </row>
    <row r="95" spans="1:1" x14ac:dyDescent="0.25">
      <c r="A95" s="16"/>
    </row>
    <row r="96" spans="1:1" x14ac:dyDescent="0.25">
      <c r="A96" s="16"/>
    </row>
    <row r="97" spans="1:1" x14ac:dyDescent="0.25">
      <c r="A97" s="16"/>
    </row>
    <row r="98" spans="1:1" x14ac:dyDescent="0.25">
      <c r="A98" s="16"/>
    </row>
    <row r="99" spans="1:1" x14ac:dyDescent="0.25">
      <c r="A99" s="16"/>
    </row>
    <row r="100" spans="1:1" x14ac:dyDescent="0.25">
      <c r="A100" s="16"/>
    </row>
    <row r="101" spans="1:1" x14ac:dyDescent="0.25">
      <c r="A10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ACC</vt:lpstr>
      <vt:lpstr>Econ</vt:lpstr>
      <vt:lpstr>Klad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adm29</dc:creator>
  <dc:description/>
  <cp:lastModifiedBy>adm29</cp:lastModifiedBy>
  <cp:revision>16</cp:revision>
  <dcterms:created xsi:type="dcterms:W3CDTF">2022-01-19T07:06:22Z</dcterms:created>
  <dcterms:modified xsi:type="dcterms:W3CDTF">2022-01-19T07:06:22Z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