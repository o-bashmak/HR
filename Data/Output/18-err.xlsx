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9" activeTab="9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KladResume" sheetId="11" r:id="rId10"/>
    <sheet name="ЦУ" sheetId="10" r:id="rId11"/>
  </sheets>
  <definedNames>
    <definedName name="_xlnm._FilterDatabase" localSheetId="8">'18 ур.'!$A$21:$I$143</definedName>
    <definedName name="_xlnm._FilterDatabase" localSheetId="10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7" i="9" l="1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145" i="9" l="1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23" i="9" l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206" i="9" l="1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84" i="9" l="1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<sst xmlns="http://schemas.openxmlformats.org/spreadsheetml/2006/main" count="1761" uniqueCount="942">
  <si>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</si>
  <si>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</si>
  <si>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</si>
  <si>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</si>
  <si>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</si>
  <si>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</si>
  <si>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</si>
  <si>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</si>
  <si>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</si>
  <si>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</si>
  <si>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</si>
  <si>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</si>
  <si>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</si>
  <si>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</si>
  <si>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</si>
  <si>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</si>
  <si>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</si>
  <si>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</si>
  <si>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</si>
  <si>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</si>
  <si>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</si>
  <si>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</si>
  <si>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</si>
  <si>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</si>
  <si>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</si>
  <si>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</si>
  <si>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</si>
  <si>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</si>
  <si>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</si>
  <si>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</si>
  <si>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</si>
  <si>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</si>
  <si>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</si>
  <si>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</si>
  <si>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</si>
  <si>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</si>
  <si>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</si>
  <si>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</si>
  <si>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</si>
  <si>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</si>
  <si>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</si>
  <si>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</si>
  <si>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</si>
  <si>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</si>
  <si>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</si>
  <si>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</si>
  <si>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</si>
  <si>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</si>
  <si>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</si>
  <si>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</si>
  <si>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</si>
  <si>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</si>
  <si>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</si>
  <si>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</si>
  <si>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</si>
  <si>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</si>
  <si>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</si>
  <si>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</si>
  <si>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</si>
  <si>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</si>
  <si>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</si>
  <si>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</si>
  <si>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</si>
  <si>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</si>
  <si>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</si>
  <si>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</si>
  <si>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</si>
  <si>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</si>
  <si>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</si>
  <si>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</si>
  <si>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</si>
  <si>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</si>
  <si>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</si>
  <si>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</si>
  <si>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</si>
  <si>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</si>
  <si>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</si>
  <si>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</si>
  <si>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</si>
  <si>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</si>
  <si>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</si>
  <si>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</si>
  <si>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</si>
  <si>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</si>
  <si>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</si>
  <si>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</si>
  <si>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</si>
  <si>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</si>
  <si>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</si>
  <si>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</si>
  <si>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</si>
  <si>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</si>
  <si>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</si>
  <si>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</si>
  <si>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</si>
  <si>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</si>
  <si>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</si>
  <si>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</si>
  <si>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</si>
  <si>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</si>
  <si>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</si>
  <si>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</si>
  <si>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</si>
  <si>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</si>
  <si>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</si>
  <si>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</si>
  <si>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</si>
  <si>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</si>
  <si>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</si>
  <si>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</si>
  <si>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</si>
  <si>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</si>
  <si>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</si>
  <si>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</si>
  <si>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</si>
  <si>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</si>
  <si>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</si>
  <si>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</si>
  <si>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</si>
  <si>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</si>
  <si>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</si>
  <si>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</si>
  <si>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</si>
  <si>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</si>
  <si>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</si>
  <si>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</si>
  <si>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</si>
  <si>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</si>
  <si>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</si>
  <si>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</si>
  <si>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</si>
  <si>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</si>
  <si>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</si>
  <si>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</si>
  <si>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</si>
  <si>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</si>
  <si>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</si>
  <si>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</si>
  <si>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</si>
  <si>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</si>
  <si>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</si>
  <si>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</si>
  <si>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</si>
  <si>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</si>
  <si>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</si>
  <si>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</si>
  <si>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</si>
  <si>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</si>
  <si>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</si>
  <si>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</si>
  <si>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</si>
  <si>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</si>
  <si>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</si>
  <si>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</si>
  <si>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</si>
  <si>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</si>
  <si>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</si>
  <si>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</si>
  <si>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</si>
  <si>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</si>
  <si>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</si>
  <si>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</si>
  <si>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</si>
  <si>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</si>
  <si>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</si>
  <si>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</si>
  <si>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</si>
  <si>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</si>
  <si>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</si>
  <si>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</si>
  <si>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</si>
  <si>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</si>
  <si>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</si>
  <si>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</si>
  <si>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</si>
  <si>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</si>
  <si>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</si>
  <si>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</si>
  <si>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</si>
  <si>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</si>
  <si>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</si>
  <si>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</si>
  <si>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</si>
  <si>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</si>
  <si>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</si>
  <si>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</si>
  <si>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</si>
  <si>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</si>
  <si>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</si>
  <si>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</si>
  <si>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</si>
  <si>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</si>
  <si>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</si>
  <si>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</si>
  <si>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</si>
  <si>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</si>
  <si>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</si>
  <si>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</si>
  <si>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</si>
  <si>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</si>
  <si>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</si>
  <si>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</si>
  <si>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</si>
  <si>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</si>
  <si>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</si>
  <si>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</si>
  <si>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</si>
  <si>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</si>
  <si>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</si>
  <si>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</si>
  <si>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</si>
  <si>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</si>
  <si>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</si>
  <si>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</si>
  <si>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</si>
  <si>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</si>
  <si>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</si>
  <si>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</si>
  <si>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</si>
  <si>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</si>
  <si>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</si>
  <si>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</si>
  <si>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</si>
  <si>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</si>
  <si>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</si>
  <si>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</si>
  <si>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</si>
  <si>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</si>
  <si>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</si>
  <si>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</si>
  <si>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</si>
  <si>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</si>
  <si>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</si>
  <si>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</si>
  <si>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</si>
  <si>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</si>
  <si>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</si>
  <si>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</si>
  <si>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</si>
  <si>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</si>
  <si>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</si>
  <si>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</si>
  <si>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</si>
  <si>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</si>
  <si>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</si>
  <si>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</si>
  <si>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</si>
  <si>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</si>
  <si>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</si>
  <si>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</si>
  <si>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</si>
  <si>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</si>
  <si>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</si>
  <si>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</si>
  <si>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</si>
  <si>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</si>
  <si>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</si>
  <si>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</si>
  <si>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</si>
  <si>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</si>
  <si>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</si>
  <si>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</si>
  <si>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</si>
  <si>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</si>
  <si>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</si>
  <si>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</si>
  <si>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</si>
  <si>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</si>
  <si>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</si>
  <si>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</si>
  <si>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</si>
  <si>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</si>
  <si>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</si>
  <si>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</si>
  <si>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</si>
  <si>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</si>
  <si>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</si>
  <si>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</si>
  <si>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</si>
  <si>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</si>
  <si>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</si>
  <si>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</si>
  <si>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</si>
  <si>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</si>
  <si>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</si>
  <si>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</si>
  <si>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</si>
  <si>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</si>
  <si>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</si>
  <si>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</si>
  <si>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</si>
  <si>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</si>
  <si>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</si>
  <si>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</si>
  <si>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</si>
  <si>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</si>
  <si>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</si>
  <si>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</si>
  <si>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</si>
  <si>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</si>
  <si>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</si>
  <si>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</si>
  <si>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</si>
  <si>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</si>
  <si>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</si>
  <si>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</si>
  <si>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</si>
  <si>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</si>
  <si>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</si>
  <si>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</si>
  <si>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</si>
  <si>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</si>
  <si>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</si>
  <si>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</si>
  <si>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</si>
  <si>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</si>
  <si>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</si>
  <si>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</si>
  <si>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</si>
  <si>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</si>
  <si>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</si>
  <si>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</si>
  <si>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</si>
  <si>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</si>
  <si>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</si>
  <si>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</si>
  <si>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</si>
  <si>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</si>
  <si>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</si>
  <si>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</si>
  <si>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</si>
  <si>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</si>
  <si>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</si>
  <si>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</si>
  <si>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</si>
  <si>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</si>
  <si>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</si>
  <si>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</si>
  <si>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</si>
  <si>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</si>
  <si>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</si>
  <si>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</si>
  <si>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</si>
  <si>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</si>
  <si>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</si>
  <si>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</si>
  <si>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</si>
  <si>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</si>
  <si>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</si>
  <si>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</si>
  <si>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</si>
  <si>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</si>
  <si>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</si>
  <si>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</si>
  <si>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</si>
  <si>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</si>
  <si>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</si>
  <si>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</si>
  <si>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</si>
  <si>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</si>
  <si>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</si>
  <si>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</si>
  <si>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</si>
  <si>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</si>
  <si>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</si>
  <si>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</si>
  <si>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</si>
  <si>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</si>
  <si>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</si>
  <si>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</si>
  <si>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</si>
  <si>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</si>
  <si>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</si>
  <si>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</si>
  <si>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</si>
  <si>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</si>
  <si>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</si>
  <si>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</si>
  <si>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</si>
  <si>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</si>
  <si>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</si>
  <si>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</si>
  <si>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</si>
  <si>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</si>
  <si>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</si>
  <si>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</si>
  <si>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</si>
  <si>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</si>
  <si>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</si>
  <si>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</si>
  <si>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</si>
  <si>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</si>
  <si>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</si>
  <si>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</si>
  <si>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</si>
  <si>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</si>
  <si>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</si>
  <si>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</si>
  <si>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</si>
  <si>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</si>
  <si>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</si>
  <si>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</si>
  <si>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</si>
  <si>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</si>
  <si>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</si>
  <si>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</si>
  <si>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</si>
  <si>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</si>
  <si>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</si>
  <si>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</si>
  <si>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</si>
  <si>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</si>
  <si>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</si>
  <si>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</si>
  <si>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</si>
  <si>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</si>
  <si>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</si>
  <si>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</si>
  <si>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</si>
  <si>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</si>
  <si>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</si>
  <si>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</si>
  <si>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</si>
  <si>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</si>
  <si>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</si>
  <si>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</si>
  <si>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</si>
  <si>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</si>
  <si>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</si>
  <si>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</si>
  <si>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</si>
  <si>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</si>
  <si>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</si>
  <si>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</si>
  <si>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</si>
  <si>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</si>
  <si>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</si>
  <si>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</si>
  <si>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</si>
  <si>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</si>
  <si>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</si>
  <si>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</si>
  <si>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</si>
  <si>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</si>
  <si>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</si>
  <si>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</si>
  <si>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</si>
  <si>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</si>
  <si>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</si>
  <si>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</si>
  <si>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</si>
  <si>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</si>
  <si>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</si>
  <si>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</si>
  <si>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</si>
  <si>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</si>
  <si>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</si>
  <si>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</si>
  <si>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</si>
  <si>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</si>
  <si>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</si>
  <si>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</si>
  <si>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</si>
  <si>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</si>
  <si>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</si>
  <si>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</si>
  <si>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</si>
  <si>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</si>
  <si>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</si>
  <si>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</si>
  <si>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</si>
  <si>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</si>
  <si>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</si>
  <si>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</si>
  <si>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</si>
  <si>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</si>
  <si>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</si>
  <si>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</si>
  <si>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</si>
  <si>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</si>
  <si>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</si>
  <si>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</si>
  <si>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</si>
  <si>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</si>
  <si>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</si>
  <si>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</si>
  <si>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</si>
  <si>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</si>
  <si>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</si>
  <si>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</si>
  <si>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</si>
  <si>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</si>
  <si>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</si>
  <si>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</si>
  <si>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</si>
  <si>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</si>
  <si>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</si>
  <si>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</si>
  <si>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</si>
  <si>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</si>
  <si>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</si>
  <si>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</si>
  <si>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</si>
  <si>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</si>
  <si>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</si>
  <si>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</si>
  <si>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</si>
  <si>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</si>
  <si>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</si>
  <si>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</si>
  <si>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</si>
  <si>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</si>
  <si>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</si>
  <si>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</si>
  <si>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</si>
  <si>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</si>
  <si>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</si>
  <si>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</si>
  <si>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</si>
  <si>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</si>
  <si>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</si>
  <si>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</si>
  <si>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</si>
  <si>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</si>
  <si>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</si>
  <si>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</si>
  <si>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</si>
  <si>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</si>
  <si>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</si>
  <si>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</si>
  <si>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</si>
  <si>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</si>
  <si>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</si>
  <si>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</si>
  <si>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</si>
  <si>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</si>
  <si>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</si>
  <si>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</si>
  <si>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</si>
  <si>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</si>
  <si>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</si>
  <si>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</si>
  <si>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</si>
  <si>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</si>
  <si>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</si>
  <si>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</si>
  <si>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</si>
  <si>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</si>
  <si>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</si>
  <si>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</si>
  <si>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</si>
  <si>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</si>
  <si>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</si>
  <si>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</si>
  <si>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</si>
  <si>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</si>
  <si>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</si>
  <si>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</si>
  <si>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</si>
  <si>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</si>
  <si>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</si>
  <si>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</si>
  <si>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</si>
  <si>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</si>
  <si>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</si>
  <si>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</si>
  <si>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</si>
  <si>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</si>
  <si>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</si>
  <si>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</si>
  <si>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</si>
  <si>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</si>
  <si>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</si>
  <si>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</si>
  <si>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</si>
  <si>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</si>
  <si>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</si>
  <si>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</si>
  <si>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</si>
  <si>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</si>
  <si>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</si>
  <si>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</si>
  <si>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</si>
  <si>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</si>
  <si>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</si>
  <si>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</si>
  <si>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</si>
  <si>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</si>
  <si>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</si>
  <si>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</si>
  <si>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</si>
  <si>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</si>
  <si>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</si>
  <si>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</si>
  <si>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</si>
  <si>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</si>
  <si>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</si>
  <si>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</si>
  <si>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</si>
  <si>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</si>
  <si>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</si>
  <si>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</si>
  <si>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</si>
  <si>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</si>
  <si>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</si>
  <si>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</si>
  <si>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</si>
  <si>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</si>
  <si>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</si>
  <si>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</si>
  <si>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</si>
  <si>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</si>
  <si>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</si>
  <si>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</si>
  <si>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</si>
  <si>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</si>
  <si>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</si>
  <si>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</si>
  <si>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</si>
  <si>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</si>
  <si>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</si>
  <si>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</si>
  <si>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</si>
  <si>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</si>
  <si>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</si>
  <si>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</si>
  <si>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</si>
  <si>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</si>
  <si>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</si>
  <si>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</si>
  <si>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</si>
  <si>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</si>
  <si>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</si>
  <si>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</si>
  <si>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</si>
  <si>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</si>
  <si>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</si>
  <si>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</si>
  <si>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</si>
  <si>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</si>
  <si>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</si>
  <si>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</si>
  <si>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</si>
  <si>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</si>
  <si>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</si>
  <si>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</si>
  <si>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</si>
  <si>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</si>
  <si>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</si>
  <si>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</si>
  <si>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</si>
  <si>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</si>
  <si>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</si>
  <si>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</si>
  <si>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</si>
  <si>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</si>
  <si>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</si>
  <si>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</si>
  <si>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</si>
  <si>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</si>
  <si>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</si>
  <si>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</si>
  <si>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</si>
  <si>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</si>
  <si>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</si>
  <si>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</si>
  <si>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</si>
  <si>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</si>
  <si>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</si>
  <si>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</si>
  <si>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</si>
  <si>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</si>
  <si>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</si>
  <si>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</si>
  <si>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</si>
  <si>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</si>
  <si>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</si>
  <si>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</si>
  <si>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</si>
  <si>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</si>
  <si>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</si>
  <si>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</si>
  <si>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</si>
  <si>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</si>
  <si>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</si>
  <si>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</si>
  <si>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</si>
  <si>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</si>
  <si>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</si>
  <si>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</si>
  <si>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</si>
  <si>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</si>
  <si>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</si>
  <si>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</si>
  <si>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</si>
  <si>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</si>
  <si>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</si>
  <si>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</si>
  <si>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</si>
  <si>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</si>
  <si>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</si>
  <si>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</si>
  <si>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</si>
  <si>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</si>
  <si>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</si>
  <si>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</si>
  <si>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</si>
  <si>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</si>
  <si>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</si>
  <si>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</si>
  <si>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</si>
  <si>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</si>
  <si>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</si>
  <si>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</si>
  <si>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</si>
  <si>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</si>
  <si>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</si>
  <si>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</si>
  <si>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</si>
  <si>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</si>
  <si>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</si>
  <si>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</si>
  <si>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</si>
  <si>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</si>
  <si>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</si>
  <si>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</si>
  <si>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</si>
  <si>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</si>
  <si>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</si>
  <si>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</si>
  <si>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</si>
  <si>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</si>
  <si>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</si>
  <si>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</si>
  <si>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</si>
  <si>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</si>
  <si>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</si>
  <si>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</si>
  <si>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</si>
  <si>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</si>
  <si>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</si>
  <si>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</si>
  <si>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</si>
  <si>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</si>
  <si>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</si>
  <si>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</si>
  <si>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</si>
  <si>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</si>
  <si>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</si>
  <si>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</si>
  <si>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</si>
  <si>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</si>
  <si>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</si>
  <si>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</si>
  <si>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</si>
  <si>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</si>
  <si>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</si>
  <si>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</si>
  <si>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</si>
  <si>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</si>
  <si>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</si>
  <si>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</si>
  <si>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</si>
  <si>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</si>
  <si>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</si>
  <si>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</si>
  <si>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</si>
  <si>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</si>
  <si>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</si>
  <si>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</si>
  <si>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</si>
  <si>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</si>
  <si>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</si>
  <si>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</si>
  <si>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</si>
  <si>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</si>
  <si>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</si>
  <si>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</si>
  <si>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</si>
  <si>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</si>
  <si>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</si>
  <si>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</si>
  <si>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</si>
  <si>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</si>
  <si>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</si>
  <si>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</si>
  <si>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</si>
  <si>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</si>
  <si>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</si>
  <si>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</si>
  <si>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</si>
  <si>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</si>
  <si>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</si>
  <si>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</si>
  <si>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</si>
  <si>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</si>
  <si>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</si>
  <si>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</si>
  <si>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</si>
  <si>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</si>
  <si>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</si>
  <si>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</si>
  <si>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</si>
  <si>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</si>
  <si>
    <t>Укладчик-упаковщик/Комплектовщик</t>
  </si>
  <si>
    <t>https://rabota.by/resume/1d7c400500098699c10013a3fa6f70417a6f32?query=%21%D0%9A%D0%BB%D0%B0%D0%B4%D0%BE%D0%B2%D1%89%D0%B8%D0%BA&amp;hhtmFrom=resume_search_result</t>
  </si>
  <si>
    <t>Заведующий складом, хозяйством, кладовщик, водитель вилочного погрузчика 4 го разряда</t>
  </si>
  <si>
    <t>https://rabota.by/resume/6d21b7e000036061170013a3fa3044727a6879?query=%21%D0%9A%D0%BB%D0%B0%D0%B4%D0%BE%D0%B2%D1%89%D0%B8%D0%BA&amp;hhtmFrom=resume_search_result</t>
  </si>
  <si>
    <t>Кладовщик-грузчик</t>
  </si>
  <si>
    <t>https://rabota.by/resume/122152ba00095bcf9e0013a3fa4639574a574e?query=%21%D0%9A%D0%BB%D0%B0%D0%B4%D0%BE%D0%B2%D1%89%D0%B8%D0%BA&amp;hhtmFrom=resume_search_result</t>
  </si>
  <si>
    <t>кладовщик, готов к обучению, открыт к предложениям</t>
  </si>
  <si>
    <t>https://rabota.by/resume/752991d8000993661f0013a3fa69584f7a574d?query=%21%D0%9A%D0%BB%D0%B0%D0%B4%D0%BE%D0%B2%D1%89%D0%B8%D0%BA&amp;hhtmFrom=resume_search_result</t>
  </si>
  <si>
    <t>https://rabota.by/resume/156bc8fd000894874f0013a3fa52703347446f?query=%21%D0%9A%D0%BB%D0%B0%D0%B4%D0%BE%D0%B2%D1%89%D0%B8%D0%BA&amp;hhtmFrom=resume_search_result</t>
  </si>
  <si>
    <t>https://rabota.by/resume/e2368b750008fa795e0013a3fa515736786b6d?query=%21%D0%9A%D0%BB%D0%B0%D0%B4%D0%BE%D0%B2%D1%89%D0%B8%D0%BA&amp;hhtmFrom=resume_search_result</t>
  </si>
  <si>
    <t>Кладовщик, тренер, формовщик.</t>
  </si>
  <si>
    <t>https://rabota.by/resume/f58e4f9b0009914d120013a3fa52307a436e31?query=%21%D0%9A%D0%BB%D0%B0%D0%B4%D0%BE%D0%B2%D1%89%D0%B8%D0%BA&amp;hhtmFrom=resume_search_result</t>
  </si>
  <si>
    <t>Кладовщик, мастер цеха</t>
  </si>
  <si>
    <t>https://rabota.by/resume/ce57a4a60007b1b57a0013a3fa445962376959?query=%21%D0%9A%D0%BB%D0%B0%D0%B4%D0%BE%D0%B2%D1%89%D0%B8%D0%BA&amp;hhtmFrom=resume_search_result</t>
  </si>
  <si>
    <t>https://rabota.by/resume/f0b3ca840004189c110013a3fa6d4646766a64?query=%21%D0%9A%D0%BB%D0%B0%D0%B4%D0%BE%D0%B2%D1%89%D0%B8%D0%BA&amp;hhtmFrom=resume_search_result</t>
  </si>
  <si>
    <t>Кладовщик-комплектовщик</t>
  </si>
  <si>
    <t>https://rabota.by/resume/2880b75200092489f70013a3fa5857764c5553?query=%21%D0%9A%D0%BB%D0%B0%D0%B4%D0%BE%D0%B2%D1%89%D0%B8%D0%BA&amp;hhtmFrom=resume_search_result</t>
  </si>
  <si>
    <t>https://rabota.by/resume/5421a05b0009935ae80013a3fa6d6b426a6c39?query=%21%D0%9A%D0%BB%D0%B0%D0%B4%D0%BE%D0%B2%D1%89%D0%B8%D0%BA&amp;hhtmFrom=resume_search_result</t>
  </si>
  <si>
    <t>Зав. складом.Кладовщик.Оператор.</t>
  </si>
  <si>
    <t>https://rabota.by/resume/8c0d2e7f00035eed2e0013a3fa334a6f4a4565?query=%21%D0%9A%D0%BB%D0%B0%D0%B4%D0%BE%D0%B2%D1%89%D0%B8%D0%BA&amp;hhtmFrom=resume_search_result</t>
  </si>
  <si>
    <t>https://rabota.by/resume/46c184c9000998a1470013a3fa6136535a6532?query=%21%D0%9A%D0%BB%D0%B0%D0%B4%D0%BE%D0%B2%D1%89%D0%B8%D0%BA&amp;hhtmFrom=resume_search_result</t>
  </si>
  <si>
    <t>https://rabota.by/resume/69a462bc0002a654a80013a3fa696762484c6b?query=%21%D0%9A%D0%BB%D0%B0%D0%B4%D0%BE%D0%B2%D1%89%D0%B8%D0%BA&amp;hhtmFrom=resume_search_result</t>
  </si>
  <si>
    <t>Продавец-консультант , кладовщик, мерчендайзер</t>
  </si>
  <si>
    <t>https://rabota.by/resume/f3f1c51c00038cc04f0013a3fa6e78346d3865?query=%21%D0%9A%D0%BB%D0%B0%D0%B4%D0%BE%D0%B2%D1%89%D0%B8%D0%BA&amp;hhtmFrom=resume_search_result</t>
  </si>
  <si>
    <t>https://rabota.by/resume/bd491f3500096c8e530013a3fa443644427745?query=%21%D0%9A%D0%BB%D0%B0%D0%B4%D0%BE%D0%B2%D1%89%D0%B8%D0%BA&amp;hhtmFrom=resume_search_result</t>
  </si>
  <si>
    <t>https://rabota.by/resume/51d0db2600099847db0013a3fa3750787a6778?query=%21%D0%9A%D0%BB%D0%B0%D0%B4%D0%BE%D0%B2%D1%89%D0%B8%D0%BA&amp;hhtmFrom=resume_search_result</t>
  </si>
  <si>
    <t>https://rabota.by/resume/66384c68000987e6a50013a3fa5637526f5545?query=%21%D0%9A%D0%BB%D0%B0%D0%B4%D0%BE%D0%B2%D1%89%D0%B8%D0%BA&amp;hhtmFrom=resume_search_result</t>
  </si>
  <si>
    <t>https://rabota.by/resume/3434c4d000099819750013a3fa6e354c396347?query=%21%D0%9A%D0%BB%D0%B0%D0%B4%D0%BE%D0%B2%D1%89%D0%B8%D0%BA&amp;hhtmFrom=resume_search_result</t>
  </si>
  <si>
    <t>Работник склада, специалист качества, кладовщик, бригадир,</t>
  </si>
  <si>
    <t>https://rabota.by/resume/fed2685e000828f6170013a3fa394f75413370?query=%21%D0%9A%D0%BB%D0%B0%D0%B4%D0%BE%D0%B2%D1%89%D0%B8%D0%BA&amp;hhtmFrom=resume_search_result</t>
  </si>
  <si>
    <t>https://rabota.by/resume/2a5300500009978c100013a3fa375166335a72?query=%21%D0%9A%D0%BB%D0%B0%D0%B4%D0%BE%D0%B2%D1%89%D0%B8%D0%BA&amp;hhtmFrom=resume_search_result</t>
  </si>
  <si>
    <t>https://rabota.by/resume/6565e97800088565c60013a3fa677a7341624b?query=%21%D0%9A%D0%BB%D0%B0%D0%B4%D0%BE%D0%B2%D1%89%D0%B8%D0%BA&amp;hhtmFrom=resume_search_result</t>
  </si>
  <si>
    <t>Кладовщик/Заведующий склада.</t>
  </si>
  <si>
    <t>https://rabota.by/resume/e9dc14dc00095f7f400013a3fa5a646d6a3173?query=%21%D0%9A%D0%BB%D0%B0%D0%B4%D0%BE%D0%B2%D1%89%D0%B8%D0%BA&amp;hhtmFrom=resume_search_result</t>
  </si>
  <si>
    <t>Кладовщик. Заведующий складом</t>
  </si>
  <si>
    <t>https://rabota.by/resume/49d1c87f000840cee20013a3fa35347a6c7735?query=%21%D0%9A%D0%BB%D0%B0%D0%B4%D0%BE%D0%B2%D1%89%D0%B8%D0%BA&amp;hhtmFrom=resume_search_result</t>
  </si>
  <si>
    <t>Кладовщик, завсклада</t>
  </si>
  <si>
    <t>https://rabota.by/resume/ceaa6656000905a09c0013a3fa59667978566a?query=%21%D0%9A%D0%BB%D0%B0%D0%B4%D0%BE%D0%B2%D1%89%D0%B8%D0%BA&amp;hhtmFrom=resume_search_result</t>
  </si>
  <si>
    <t>https://rabota.by/resume/9527fc48000996c3c90013a3fa41473044436d?query=%21%D0%9A%D0%BB%D0%B0%D0%B4%D0%BE%D0%B2%D1%89%D0%B8%D0%BA&amp;hhtmFrom=resume_search_result</t>
  </si>
  <si>
    <t>Администратор, учётчик, кладовщик, упаковщик, сортировщик</t>
  </si>
  <si>
    <t>https://rabota.by/resume/623acb49000990dcea0013a3fa454477445748?query=%21%D0%9A%D0%BB%D0%B0%D0%B4%D0%BE%D0%B2%D1%89%D0%B8%D0%BA&amp;hhtmFrom=resume_search_result</t>
  </si>
  <si>
    <t>https://rabota.by/resume/27ea151e00096d7aa50013a3fa503950303739?query=%21%D0%9A%D0%BB%D0%B0%D0%B4%D0%BE%D0%B2%D1%89%D0%B8%D0%BA&amp;hhtmFrom=resume_search_result</t>
  </si>
  <si>
    <t>Заведующий складом(кладовщик)</t>
  </si>
  <si>
    <t>https://rabota.by/resume/561dd41f0002ea0ed70013a3fa5a6d334a5752?query=%21%D0%9A%D0%BB%D0%B0%D0%B4%D0%BE%D0%B2%D1%89%D0%B8%D0%BA&amp;hhtmFrom=resume_search_result</t>
  </si>
  <si>
    <t>Кладовщик, заведующий складом</t>
  </si>
  <si>
    <t>https://rabota.by/resume/5da6e80500037e51040013a3fa395058686f79?query=%21%D0%9A%D0%BB%D0%B0%D0%B4%D0%BE%D0%B2%D1%89%D0%B8%D0%BA&amp;hhtmFrom=resume_search_result</t>
  </si>
  <si>
    <t>https://rabota.by/resume/437ae4c600097ce30e0013a3fa764d4d725356?query=%21%D0%9A%D0%BB%D0%B0%D0%B4%D0%BE%D0%B2%D1%89%D0%B8%D0%BA&amp;hhtmFrom=resume_search_result</t>
  </si>
  <si>
    <t>Специалист по приемке товаров - кладовщик</t>
  </si>
  <si>
    <t>https://rabota.by/resume/3e2b9b960005e4b82f0013a3fa467932364337?query=%21%D0%9A%D0%BB%D0%B0%D0%B4%D0%BE%D0%B2%D1%89%D0%B8%D0%BA&amp;hhtmFrom=resume_search_result</t>
  </si>
  <si>
    <t>https://rabota.by/resume/a74a6c970009958b9a0013a3fa50776a4b6761?query=%21%D0%9A%D0%BB%D0%B0%D0%B4%D0%BE%D0%B2%D1%89%D0%B8%D0%BA&amp;hhtmFrom=resume_search_result</t>
  </si>
  <si>
    <t>Заведующий складом,кладовщик</t>
  </si>
  <si>
    <t>https://rabota.by/resume/efa50fbe00075c71f60013a3fa51477845576c?query=%21%D0%9A%D0%BB%D0%B0%D0%B4%D0%BE%D0%B2%D1%89%D0%B8%D0%BA&amp;hhtmFrom=resume_search_result</t>
  </si>
  <si>
    <t>https://rabota.by/resume/9473054c000995658b0013a3fa615331347862?query=%21%D0%9A%D0%BB%D0%B0%D0%B4%D0%BE%D0%B2%D1%89%D0%B8%D0%BA&amp;hhtmFrom=resume_search_result</t>
  </si>
  <si>
    <t>Грузчик-кладовщик</t>
  </si>
  <si>
    <t>https://rabota.by/resume/c679d68c0008c3b2470013a3fa4d7866414437?query=%21%D0%9A%D0%BB%D0%B0%D0%B4%D0%BE%D0%B2%D1%89%D0%B8%D0%BA&amp;hhtmFrom=resume_search_result</t>
  </si>
  <si>
    <t>https://rabota.by/resume/888dd963000624abae0013a3fa566e54436535?query=%21%D0%9A%D0%BB%D0%B0%D0%B4%D0%BE%D0%B2%D1%89%D0%B8%D0%BA&amp;hhtmFrom=resume_search_result</t>
  </si>
  <si>
    <t>Продавец-консультант, кладовщик</t>
  </si>
  <si>
    <t>https://rabota.by/resume/831a377c0005e2b2bb0013a3fa4b4978794238?query=%21%D0%9A%D0%BB%D0%B0%D0%B4%D0%BE%D0%B2%D1%89%D0%B8%D0%BA&amp;hhtmFrom=resume_search_result</t>
  </si>
  <si>
    <t>https://rabota.by/resume/c8cccbf900098e0a850013a3fa77506f484174?query=%21%D0%9A%D0%BB%D0%B0%D0%B4%D0%BE%D0%B2%D1%89%D0%B8%D0%BA&amp;hhtmFrom=resume_search_result</t>
  </si>
  <si>
    <t>Кладовщик группы приемки, продавец.</t>
  </si>
  <si>
    <t>https://rabota.by/resume/462d53e40002e5c9d70013a3fa6d6639505537?query=%21%D0%9A%D0%BB%D0%B0%D0%B4%D0%BE%D0%B2%D1%89%D0%B8%D0%BA&amp;hhtmFrom=resume_search_result</t>
  </si>
  <si>
    <t>Менеджер по продажам, кладовщик</t>
  </si>
  <si>
    <t>https://rabota.by/resume/df02bdca0007c98ed70013a3fa755661726553?query=%21%D0%9A%D0%BB%D0%B0%D0%B4%D0%BE%D0%B2%D1%89%D0%B8%D0%BA&amp;hhtmFrom=resume_search_result</t>
  </si>
  <si>
    <t>https://rabota.by/resume/9971d343000779bc7f0013a3fa51686858454a?query=%21%D0%9A%D0%BB%D0%B0%D0%B4%D0%BE%D0%B2%D1%89%D0%B8%D0%BA&amp;hhtmFrom=resume_search_result</t>
  </si>
  <si>
    <t>https://rabota.by/resume/e8cdf550000992d2210013a3fa55475358694b?query=%21%D0%9A%D0%BB%D0%B0%D0%B4%D0%BE%D0%B2%D1%89%D0%B8%D0%BA&amp;hhtmFrom=resume_search_result</t>
  </si>
  <si>
    <t>https://rabota.by/resume/f9988b8500099403b00013a3fa7551524d7447?query=%21%D0%9A%D0%BB%D0%B0%D0%B4%D0%BE%D0%B2%D1%89%D0%B8%D0%BA&amp;hhtmFrom=resume_search_result</t>
  </si>
  <si>
    <t>https://rabota.by/resume/35917856000985246b0013a3fa546d67356879?query=%21%D0%9A%D0%BB%D0%B0%D0%B4%D0%BE%D0%B2%D1%89%D0%B8%D0%BA&amp;hhtmFrom=resume_search_result</t>
  </si>
  <si>
    <t>https://rabota.by/resume/139d53f2000993baf70013a3fa7053454c6e52?query=%21%D0%9A%D0%BB%D0%B0%D0%B4%D0%BE%D0%B2%D1%89%D0%B8%D0%BA&amp;hhtmFrom=resume_search_result</t>
  </si>
  <si>
    <t>Кладовщик , комплектовщик , ( водитель погрузчика " 3 разряда " )</t>
  </si>
  <si>
    <t>https://rabota.by/resume/683e9921000740a8550013a3fa524b6d51414a?query=%21%D0%9A%D0%BB%D0%B0%D0%B4%D0%BE%D0%B2%D1%89%D0%B8%D0%BA&amp;hhtmFrom=resume_search_result</t>
  </si>
  <si>
    <t>Курьер/кладовщик /разнорабочий</t>
  </si>
  <si>
    <t>https://rabota.by/resume/afa51d220008807ab70013a3fa386d736d694e?query=%21%D0%9A%D0%BB%D0%B0%D0%B4%D0%BE%D0%B2%D1%89%D0%B8%D0%BA&amp;hhtmFrom=resume_search_result</t>
  </si>
  <si>
    <t>Кладовщик-оператор, зав. складом</t>
  </si>
  <si>
    <t>https://rabota.by/resume/1add4c9d00076683f70013a3fa555970493854?query=%21%D0%9A%D0%BB%D0%B0%D0%B4%D0%BE%D0%B2%D1%89%D0%B8%D0%BA&amp;hhtmFrom=resume_search_result</t>
  </si>
  <si>
    <t>Кладовщик 4го розряда</t>
  </si>
  <si>
    <t>https://rabota.by/resume/5bfd74ca00061856280013a3fa6f3136796e55?query=%21%D0%9A%D0%BB%D0%B0%D0%B4%D0%BE%D0%B2%D1%89%D0%B8%D0%BA&amp;hhtmFrom=resume_search_result</t>
  </si>
  <si>
    <t>https://rabota.by/resume/f50e8f4a00095312c30013a3fa4a4b71547134?query=%21%D0%9A%D0%BB%D0%B0%D0%B4%D0%BE%D0%B2%D1%89%D0%B8%D0%BA&amp;hhtmFrom=resume_search_result</t>
  </si>
  <si>
    <t>Кладовщик-комплектовщик ВАХТА</t>
  </si>
  <si>
    <t>https://rabota.by/resume/497295ae00060e94670013a3fa5250694b555a?query=%21%D0%9A%D0%BB%D0%B0%D0%B4%D0%BE%D0%B2%D1%89%D0%B8%D0%BA&amp;hhtmFrom=resume_search_result</t>
  </si>
  <si>
    <t>Товаровед/кладовщик</t>
  </si>
  <si>
    <t>https://rabota.by/resume/d2efb61b0000e509090013a3fa4c4e54484d62?query=%21%D0%9A%D0%BB%D0%B0%D0%B4%D0%BE%D0%B2%D1%89%D0%B8%D0%BA&amp;hhtmFrom=resume_search_result</t>
  </si>
  <si>
    <t>Кладовщик в магазин (ТЦ "Карусель")</t>
  </si>
  <si>
    <t>https://rabota.by/resume/f4f0579c0009921c350013a3fa785a4b4f7545?query=%21%D0%9A%D0%BB%D0%B0%D0%B4%D0%BE%D0%B2%D1%89%D0%B8%D0%BA&amp;hhtmFrom=resume_search_result</t>
  </si>
  <si>
    <t>https://rabota.by/resume/039b20370008b286c60013a3fa376346636f4c?query=%21%D0%9A%D0%BB%D0%B0%D0%B4%D0%BE%D0%B2%D1%89%D0%B8%D0%BA&amp;hhtmFrom=resume_search_result</t>
  </si>
  <si>
    <t>https://rabota.by/resume/a3ad5c0200093d0ae50013a3fa434234767931?query=%21%D0%9A%D0%BB%D0%B0%D0%B4%D0%BE%D0%B2%D1%89%D0%B8%D0%BA&amp;hhtmFrom=resume_search_result</t>
  </si>
  <si>
    <t>https://rabota.by/resume/783510850007c4b7b80013a3fa4f724d45794b?query=%21%D0%9A%D0%BB%D0%B0%D0%B4%D0%BE%D0%B2%D1%89%D0%B8%D0%BA&amp;hhtmFrom=resume_search_result</t>
  </si>
  <si>
    <t>https://rabota.by/resume/8332f538000991a4ed0013a3fa6d52514a5339?query=%21%D0%9A%D0%BB%D0%B0%D0%B4%D0%BE%D0%B2%D1%89%D0%B8%D0%BA&amp;hhtmFrom=resume_search_result</t>
  </si>
  <si>
    <t>https://rabota.by/resume/d13d7c77000236d5080013a3fa49775339394b?query=%21%D0%9A%D0%BB%D0%B0%D0%B4%D0%BE%D0%B2%D1%89%D0%B8%D0%BA&amp;hhtmFrom=resume_search_result</t>
  </si>
  <si>
    <t>https://rabota.by/resume/11a611dd000991459a0013a3fa574f48695657?query=%21%D0%9A%D0%BB%D0%B0%D0%B4%D0%BE%D0%B2%D1%89%D0%B8%D0%BA&amp;hhtmFrom=resume_search_result</t>
  </si>
  <si>
    <t>https://rabota.by/resume/61e9417f0008e909030013a3fa764c4d495076?query=%21%D0%9A%D0%BB%D0%B0%D0%B4%D0%BE%D0%B2%D1%89%D0%B8%D0%BA&amp;hhtmFrom=resume_search_result</t>
  </si>
  <si>
    <t>https://rabota.by/resume/a946d2d50007a81d4f0013a3fa425036624649?query=%21%D0%9A%D0%BB%D0%B0%D0%B4%D0%BE%D0%B2%D1%89%D0%B8%D0%BA&amp;hhtmFrom=resume_search_result</t>
  </si>
  <si>
    <t>https://rabota.by/resume/6f23c4580009907cbe0013a3fa517470334368?query=%21%D0%9A%D0%BB%D0%B0%D0%B4%D0%BE%D0%B2%D1%89%D0%B8%D0%BA&amp;hhtmFrom=resume_search_result</t>
  </si>
  <si>
    <t>https://rabota.by/resume/32b9af900009906f3e0013a3fa337243455a44?query=%21%D0%9A%D0%BB%D0%B0%D0%B4%D0%BE%D0%B2%D1%89%D0%B8%D0%BA&amp;hhtmFrom=resume_search_result</t>
  </si>
  <si>
    <t>Зав.складом,зав отделом, кладовщик, товаровед</t>
  </si>
  <si>
    <t>https://rabota.by/resume/88bf53260001ea6bd40013a3fa485251696850?query=%21%D0%9A%D0%BB%D0%B0%D0%B4%D0%BE%D0%B2%D1%89%D0%B8%D0%BA&amp;hhtmFrom=resume_search_result</t>
  </si>
  <si>
    <t>https://rabota.by/resume/c909e51f00093999000013a3fa58365a397432?query=%21%D0%9A%D0%BB%D0%B0%D0%B4%D0%BE%D0%B2%D1%89%D0%B8%D0%BA&amp;hhtmFrom=resume_search_result</t>
  </si>
  <si>
    <t>https://rabota.by/resume/cc35222800098dc50a0013a3fa364f4e446873?query=%21%D0%9A%D0%BB%D0%B0%D0%B4%D0%BE%D0%B2%D1%89%D0%B8%D0%BA&amp;hhtmFrom=resume_search_result</t>
  </si>
  <si>
    <t>https://rabota.by/resume/55065a9600098fd0190013a3fa4359444f4a42?query=%21%D0%9A%D0%BB%D0%B0%D0%B4%D0%BE%D0%B2%D1%89%D0%B8%D0%BA&amp;hhtmFrom=resume_search_result</t>
  </si>
  <si>
    <t>https://rabota.by/resume/ea39e4ab00098f253f0013a3fa77624f484731?query=%21%D0%9A%D0%BB%D0%B0%D0%B4%D0%BE%D0%B2%D1%89%D0%B8%D0%BA&amp;hhtmFrom=resume_search_result</t>
  </si>
  <si>
    <t>Кладовщик на склад автозапчастей бывших в употреблении</t>
  </si>
  <si>
    <t>https://rabota.by/resume/015e2fd100098f64630013a3fa49764163414e?query=%21%D0%9A%D0%BB%D0%B0%D0%B4%D0%BE%D0%B2%D1%89%D0%B8%D0%BA&amp;hhtmFrom=resume_search_result</t>
  </si>
  <si>
    <t>https://rabota.by/resume/bb26a4910007e6048c0013a3fa4e69304e3238?query=%21%D0%9A%D0%BB%D0%B0%D0%B4%D0%BE%D0%B2%D1%89%D0%B8%D0%BA&amp;hhtmFrom=resume_search_result</t>
  </si>
  <si>
    <t>https://rabota.by/resume/5bb8fff900098edb3f0013a3fa656864347743?query=%21%D0%9A%D0%BB%D0%B0%D0%B4%D0%BE%D0%B2%D1%89%D0%B8%D0%BA&amp;hhtmFrom=resume_search_result</t>
  </si>
  <si>
    <t>Автослесарь, сварщик, разнорабочий, кладовщик, грузчик, специалист по работе с клиентами.</t>
  </si>
  <si>
    <t>https://rabota.by/resume/6a0c642000031130330013a3fa383649534e67?query=%21%D0%9A%D0%BB%D0%B0%D0%B4%D0%BE%D0%B2%D1%89%D0%B8%D0%BA&amp;hhtmFrom=resume_search_result</t>
  </si>
  <si>
    <t>https://rabota.by/resume/3d58b4910009370e530013a3fa39716d675146?query=%21%D0%9A%D0%BB%D0%B0%D0%B4%D0%BE%D0%B2%D1%89%D0%B8%D0%BA&amp;hhtmFrom=resume_search_result</t>
  </si>
  <si>
    <t>https://rabota.by/resume/d6cd55ed00098de81d0013a3fa573475494737?query=%21%D0%9A%D0%BB%D0%B0%D0%B4%D0%BE%D0%B2%D1%89%D0%B8%D0%BA&amp;hhtmFrom=resume_search_result</t>
  </si>
  <si>
    <t>https://rabota.by/resume/b079183e00084e793f0013a3fa675070415444?query=%21%D0%9A%D0%BB%D0%B0%D0%B4%D0%BE%D0%B2%D1%89%D0%B8%D0%BA&amp;hhtmFrom=resume_search_result</t>
  </si>
  <si>
    <t>https://rabota.by/resume/e59e3063000821975b0013a3fa7568716f666d?query=%21%D0%9A%D0%BB%D0%B0%D0%B4%D0%BE%D0%B2%D1%89%D0%B8%D0%BA&amp;hhtmFrom=resume_search_result</t>
  </si>
  <si>
    <t>мастер по ремонту автомобилей,водитель автомобиля( B,C,D),,водитель погрузчика,кладовщик</t>
  </si>
  <si>
    <t>https://rabota.by/resume/006aec52000203ebaf0013a3fa6e4e68673764?query=%21%D0%9A%D0%BB%D0%B0%D0%B4%D0%BE%D0%B2%D1%89%D0%B8%D0%BA&amp;hhtmFrom=resume_search_result</t>
  </si>
  <si>
    <t>https://rabota.by/resume/ae6c3cc300098d1d470013a3fa4b33424c576e?query=%21%D0%9A%D0%BB%D0%B0%D0%B4%D0%BE%D0%B2%D1%89%D0%B8%D0%BA&amp;hhtmFrom=resume_search_result</t>
  </si>
  <si>
    <t>https://rabota.by/resume/e0ca587200098cc5df0013a3fa4c50384c6151?query=%21%D0%9A%D0%BB%D0%B0%D0%B4%D0%BE%D0%B2%D1%89%D0%B8%D0%BA&amp;hhtmFrom=resume_search_result</t>
  </si>
  <si>
    <t>Кладовщик (Водитель экспедитор)</t>
  </si>
  <si>
    <t>https://rabota.by/resume/1fd6859e00098ca08a0013a3fa52344b364337?query=%21%D0%9A%D0%BB%D0%B0%D0%B4%D0%BE%D0%B2%D1%89%D0%B8%D0%BA&amp;hhtmFrom=resume_search_result</t>
  </si>
  <si>
    <t>https://rabota.by/resume/2a532a3d0009692fd70013a3fa4f3339726258?query=%21%D0%9A%D0%BB%D0%B0%D0%B4%D0%BE%D0%B2%D1%89%D0%B8%D0%BA&amp;hhtmFrom=resume_search_result</t>
  </si>
  <si>
    <t>https://rabota.by/resume/b6f3b4e000098c318b0013a3fa35786b546459?query=%21%D0%9A%D0%BB%D0%B0%D0%B4%D0%BE%D0%B2%D1%89%D0%B8%D0%BA&amp;hhtmFrom=resume_search_result</t>
  </si>
  <si>
    <t>кладовщик</t>
  </si>
  <si>
    <t>https://rabota.by/resume/765dcea600075601e90013a3fa47316c556f56?query=%21%D0%9A%D0%BB%D0%B0%D0%B4%D0%BE%D0%B2%D1%89%D0%B8%D0%BA&amp;hhtmFrom=resume_search_result</t>
  </si>
  <si>
    <t>https://rabota.by/resume/dbe10f0500098552270013a3fa316b3538706c?query=%21%D0%9A%D0%BB%D0%B0%D0%B4%D0%BE%D0%B2%D1%89%D0%B8%D0%BA&amp;hhtmFrom=resume_search_result</t>
  </si>
  <si>
    <t>Заведующий складом (кладовщик)</t>
  </si>
  <si>
    <t>https://rabota.by/resume/cafefd370000ce2a6a0013a3fa6451794b4430?query=%21%D0%9A%D0%BB%D0%B0%D0%B4%D0%BE%D0%B2%D1%89%D0%B8%D0%BA&amp;hhtmFrom=resume_search_result</t>
  </si>
  <si>
    <t>https://rabota.by/resume/997fd0bd0007bceb450013a3fa35377038456b?query=%21%D0%9A%D0%BB%D0%B0%D0%B4%D0%BE%D0%B2%D1%89%D0%B8%D0%BA&amp;hhtmFrom=resume_search_result</t>
  </si>
  <si>
    <t>https://rabota.by/resume/da5809fa00080cfb220013a3fa58714b596a48?query=%21%D0%9A%D0%BB%D0%B0%D0%B4%D0%BE%D0%B2%D1%89%D0%B8%D0%BA&amp;hhtmFrom=resume_search_result</t>
  </si>
  <si>
    <t>Кладовщик-оператор</t>
  </si>
  <si>
    <t>https://rabota.by/resume/f2274a060003f9a4af0013a3fa433759574130?query=%21%D0%9A%D0%BB%D0%B0%D0%B4%D0%BE%D0%B2%D1%89%D0%B8%D0%BA&amp;hhtmFrom=resume_search_result</t>
  </si>
  <si>
    <t>https://rabota.by/resume/99ffcb2500098a87b50013a3fa42766d734b79?query=%21%D0%9A%D0%BB%D0%B0%D0%B4%D0%BE%D0%B2%D1%89%D0%B8%D0%BA&amp;hhtmFrom=resume_search_result</t>
  </si>
  <si>
    <t>https://rabota.by/resume/5e8e935400090b61300013a3fa326666616a54?query=%21%D0%9A%D0%BB%D0%B0%D0%B4%D0%BE%D0%B2%D1%89%D0%B8%D0%BA&amp;hhtmFrom=resume_search_result</t>
  </si>
  <si>
    <t>https://rabota.by/resume/cb55591d000971e9b00013a3fa344c44677a55?query=%21%D0%9A%D0%BB%D0%B0%D0%B4%D0%BE%D0%B2%D1%89%D0%B8%D0%BA&amp;hhtmFrom=resume_search_result</t>
  </si>
  <si>
    <t>https://rabota.by/resume/1aefa4880008a2a91a0013a3fa35416569567a?query=%21%D0%9A%D0%BB%D0%B0%D0%B4%D0%BE%D0%B2%D1%89%D0%B8%D0%BA&amp;hhtmFrom=resume_search_result</t>
  </si>
  <si>
    <t>Бухгалтер, кладовщик</t>
  </si>
  <si>
    <t>https://rabota.by/resume/c1b836fd000907ee700013a3fa4358484d4679?query=%21%D0%9A%D0%BB%D0%B0%D0%B4%D0%BE%D0%B2%D1%89%D0%B8%D0%BA&amp;hhtmFrom=resume_search_result</t>
  </si>
  <si>
    <t>https://rabota.by/resume/00e8d48d0008e76dbe0013a3fa626372655633?query=%21%D0%9A%D0%BB%D0%B0%D0%B4%D0%BE%D0%B2%D1%89%D0%B8%D0%BA&amp;hhtmFrom=resume_search_result</t>
  </si>
  <si>
    <t>https://rabota.by/resume/6bf0af9000094648690013a3fa6a6877705744?query=%21%D0%9A%D0%BB%D0%B0%D0%B4%D0%BE%D0%B2%D1%89%D0%B8%D0%BA&amp;hhtmFrom=resume_search_result</t>
  </si>
  <si>
    <t>https://rabota.by/resume/6f9321ac00073ded7f0013a3fa686252486955?query=%21%D0%9A%D0%BB%D0%B0%D0%B4%D0%BE%D0%B2%D1%89%D0%B8%D0%BA&amp;hhtmFrom=resume_search_result</t>
  </si>
  <si>
    <t>https://rabota.by/resume/4a04bdb800072fb1820013a3fa61576f525467?query=%21%D0%9A%D0%BB%D0%B0%D0%B4%D0%BE%D0%B2%D1%89%D0%B8%D0%BA&amp;hhtmFrom=resume_search_result</t>
  </si>
  <si>
    <t>https://rabota.by/resume/443a00c3000987868c0013a3fa6e6f53556753?query=%21%D0%9A%D0%BB%D0%B0%D0%B4%D0%BE%D0%B2%D1%89%D0%B8%D0%BA&amp;hhtmFrom=resume_search_result</t>
  </si>
  <si>
    <t>https://rabota.by/resume/0ddaa0d2000987bc330013a3fa6d6c527a7a32?query=%21%D0%9A%D0%BB%D0%B0%D0%B4%D0%BE%D0%B2%D1%89%D0%B8%D0%BA&amp;hhtmFrom=resume_search_result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</si>
</sst>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  <xf numFmtId="0" fontId="5" fillId="0" borderId="0" xfId="3"/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rabota.by/resume/1d7c400500098699c10013a3fa6f70417a6f32?query=%21%D0%9A%D0%BB%D0%B0%D0%B4%D0%BE%D0%B2%D1%89%D0%B8%D0%BA&amp;hhtmFrom=resume_search_res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19</v>
      </c>
      <c r="B2" s="1" t="s">
        <v>20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1</v>
      </c>
    </row>
    <row r="3" spans="1:19">
      <c r="A3" s="4"/>
      <c r="B3" s="5" t="s">
        <v>21</v>
      </c>
      <c r="C3" s="6">
        <v>1</v>
      </c>
      <c r="D3" s="7">
        <v>1</v>
      </c>
      <c r="E3" s="7">
        <v>0.5</v>
      </c>
      <c r="F3" s="7">
        <v>1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8">
        <v>10.5</v>
      </c>
    </row>
    <row r="4" spans="1:19">
      <c r="A4" s="4"/>
      <c r="B4" s="6" t="s">
        <v>22</v>
      </c>
      <c r="C4" s="6">
        <v>1</v>
      </c>
      <c r="D4" s="7"/>
      <c r="E4" s="7"/>
      <c r="F4" s="7">
        <v>1</v>
      </c>
      <c r="G4" s="7"/>
      <c r="H4" s="7">
        <v>2</v>
      </c>
      <c r="I4" s="7"/>
      <c r="J4" s="7">
        <v>1</v>
      </c>
      <c r="K4" s="7"/>
      <c r="L4" s="7"/>
      <c r="M4" s="7"/>
      <c r="N4" s="7"/>
      <c r="O4" s="7"/>
      <c r="P4" s="7">
        <v>1</v>
      </c>
      <c r="Q4" s="7"/>
      <c r="R4" s="7">
        <v>1</v>
      </c>
      <c r="S4" s="8">
        <v>7</v>
      </c>
    </row>
    <row r="5" spans="1:19">
      <c r="A5" s="4"/>
      <c r="B5" s="6" t="s">
        <v>23</v>
      </c>
      <c r="C5" s="6">
        <v>1</v>
      </c>
      <c r="D5" s="7"/>
      <c r="E5" s="7">
        <v>0.5</v>
      </c>
      <c r="F5" s="7">
        <v>1</v>
      </c>
      <c r="G5" s="7">
        <v>1</v>
      </c>
      <c r="H5" s="7">
        <v>1</v>
      </c>
      <c r="I5" s="7">
        <v>1</v>
      </c>
      <c r="J5" s="7"/>
      <c r="K5" s="7">
        <v>1</v>
      </c>
      <c r="L5" s="7"/>
      <c r="M5" s="7"/>
      <c r="N5" s="7">
        <v>1</v>
      </c>
      <c r="O5" s="7"/>
      <c r="P5" s="7">
        <v>1</v>
      </c>
      <c r="Q5" s="7"/>
      <c r="R5" s="7"/>
      <c r="S5" s="8">
        <v>8.5</v>
      </c>
    </row>
    <row r="6" spans="1:19">
      <c r="A6" s="4"/>
      <c r="B6" s="6" t="s">
        <v>24</v>
      </c>
      <c r="C6" s="6"/>
      <c r="D6" s="7"/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25</v>
      </c>
      <c r="C7" s="6">
        <v>1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8">
        <v>2</v>
      </c>
    </row>
    <row r="8" spans="1:19">
      <c r="A8" s="4"/>
      <c r="B8" s="5" t="s">
        <v>26</v>
      </c>
      <c r="C8" s="6"/>
      <c r="D8" s="7"/>
      <c r="E8" s="7">
        <v>0.75</v>
      </c>
      <c r="F8" s="7">
        <v>1</v>
      </c>
      <c r="G8" s="7"/>
      <c r="H8" s="7"/>
      <c r="I8" s="7"/>
      <c r="J8" s="7"/>
      <c r="K8" s="7"/>
      <c r="L8" s="7"/>
      <c r="M8" s="7"/>
      <c r="N8" s="7">
        <v>0.25</v>
      </c>
      <c r="O8" s="7"/>
      <c r="P8" s="7"/>
      <c r="Q8" s="7"/>
      <c r="R8" s="7">
        <v>1</v>
      </c>
      <c r="S8" s="8">
        <v>3</v>
      </c>
    </row>
    <row r="9" spans="1:19">
      <c r="A9" s="4"/>
      <c r="B9" s="6" t="s">
        <v>27</v>
      </c>
      <c r="C9" s="6">
        <v>1</v>
      </c>
      <c r="D9" s="7"/>
      <c r="E9" s="7"/>
      <c r="F9" s="7">
        <v>1</v>
      </c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8">
        <v>4</v>
      </c>
    </row>
    <row r="10" spans="1:19">
      <c r="A10" s="4"/>
      <c r="B10" s="5" t="s">
        <v>28</v>
      </c>
      <c r="C10" s="6">
        <v>1</v>
      </c>
      <c r="D10" s="7"/>
      <c r="E10" s="7">
        <v>1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8">
        <v>3</v>
      </c>
    </row>
    <row r="11" spans="1:19">
      <c r="A11" s="4"/>
      <c r="B11" s="6" t="s">
        <v>29</v>
      </c>
      <c r="C11" s="6">
        <v>1</v>
      </c>
      <c r="D11" s="7">
        <v>1</v>
      </c>
      <c r="E11" s="7">
        <v>0.25</v>
      </c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>
        <v>0.75</v>
      </c>
      <c r="O11" s="7"/>
      <c r="P11" s="7">
        <v>1</v>
      </c>
      <c r="Q11" s="7"/>
      <c r="R11" s="7">
        <v>1</v>
      </c>
      <c r="S11" s="8">
        <v>8</v>
      </c>
    </row>
    <row r="12" spans="1:19">
      <c r="A12" s="4"/>
      <c r="B12" s="5" t="s">
        <v>30</v>
      </c>
      <c r="C12" s="6"/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</v>
      </c>
    </row>
    <row r="13" spans="1:19">
      <c r="A13" s="4"/>
      <c r="B13" s="6" t="s">
        <v>31</v>
      </c>
      <c r="C13" s="6"/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8">
        <v>1</v>
      </c>
    </row>
    <row r="14" spans="1:19">
      <c r="A14" s="4"/>
      <c r="B14" s="6" t="s">
        <v>32</v>
      </c>
      <c r="C14" s="6"/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1</v>
      </c>
    </row>
    <row r="15" spans="1:19">
      <c r="A15" s="4"/>
      <c r="B15" s="5" t="s">
        <v>33</v>
      </c>
      <c r="C15" s="6"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1</v>
      </c>
    </row>
    <row r="16" spans="1:19">
      <c r="A16" s="4"/>
      <c r="B16" s="6" t="s">
        <v>34</v>
      </c>
      <c r="C16" s="6">
        <v>1</v>
      </c>
      <c r="D16" s="7">
        <v>1</v>
      </c>
      <c r="E16" s="7"/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3</v>
      </c>
    </row>
    <row r="17" spans="1:19">
      <c r="A17" s="4"/>
      <c r="B17" s="6" t="s">
        <v>35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>
        <v>12.5</v>
      </c>
      <c r="R17" s="7"/>
      <c r="S17" s="8">
        <v>13.5</v>
      </c>
    </row>
    <row r="18" spans="1:19">
      <c r="A18" s="4"/>
      <c r="B18" s="5" t="s">
        <v>36</v>
      </c>
      <c r="C18" s="6"/>
      <c r="D18" s="7">
        <v>1</v>
      </c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>
        <v>2</v>
      </c>
    </row>
    <row r="19" spans="1:19">
      <c r="A19" s="4"/>
      <c r="B19" s="6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1</v>
      </c>
      <c r="P19" s="7"/>
      <c r="Q19" s="7"/>
      <c r="R19" s="7"/>
      <c r="S19" s="8">
        <v>1</v>
      </c>
    </row>
    <row r="20" spans="1:19">
      <c r="A20" s="4"/>
      <c r="B20" s="6" t="s">
        <v>38</v>
      </c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>
        <v>1</v>
      </c>
    </row>
    <row r="21" spans="1:19">
      <c r="A21" s="4"/>
      <c r="B21" s="1" t="s">
        <v>26</v>
      </c>
      <c r="C21" s="1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</v>
      </c>
    </row>
    <row r="22" spans="1:19">
      <c r="A22" s="9" t="s">
        <v>18</v>
      </c>
      <c r="B22" s="10"/>
      <c r="C22" s="9">
        <v>20</v>
      </c>
      <c r="D22" s="11">
        <v>8</v>
      </c>
      <c r="E22" s="11">
        <v>7</v>
      </c>
      <c r="F22" s="11">
        <v>9</v>
      </c>
      <c r="G22" s="11">
        <v>8.3000000000000007</v>
      </c>
      <c r="H22" s="11">
        <v>17</v>
      </c>
      <c r="I22" s="11">
        <v>2.5</v>
      </c>
      <c r="J22" s="11">
        <v>1</v>
      </c>
      <c r="K22" s="11">
        <v>4.75</v>
      </c>
      <c r="L22" s="11">
        <v>2.5</v>
      </c>
      <c r="M22" s="11">
        <v>2</v>
      </c>
      <c r="N22" s="11">
        <v>6.75</v>
      </c>
      <c r="O22" s="11">
        <v>5</v>
      </c>
      <c r="P22" s="11">
        <v>9</v>
      </c>
      <c r="Q22" s="11">
        <v>13.5</v>
      </c>
      <c r="R22" s="11">
        <v>6.5</v>
      </c>
      <c r="S22" s="12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7" customWidth="1"/>
    <col min="2" max="2" width="48.5703125" style="7" customWidth="1"/>
    <col min="3" max="22" width="8.5703125" style="7" customWidth="1"/>
    <col min="23" max="1024" width="14.42578125" style="7"/>
  </cols>
  <sheetData>
    <row r="1" spans="1:22">
      <c r="A1" s="7" t="s">
        <v>39</v>
      </c>
      <c r="C1" s="7" t="s">
        <v>40</v>
      </c>
    </row>
    <row r="2" spans="1:2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41</v>
      </c>
      <c r="P2" s="7" t="s">
        <v>14</v>
      </c>
      <c r="Q2" s="7" t="s">
        <v>42</v>
      </c>
      <c r="R2" s="7" t="s">
        <v>15</v>
      </c>
      <c r="S2" s="7" t="s">
        <v>16</v>
      </c>
      <c r="T2" s="7" t="s">
        <v>43</v>
      </c>
      <c r="U2" s="7" t="s">
        <v>17</v>
      </c>
      <c r="V2" s="7" t="s">
        <v>18</v>
      </c>
    </row>
    <row r="3" spans="1:22">
      <c r="A3" s="7" t="s">
        <v>44</v>
      </c>
      <c r="B3" s="13" t="s">
        <v>45</v>
      </c>
      <c r="M3" s="7">
        <v>6</v>
      </c>
      <c r="V3" s="7">
        <v>6</v>
      </c>
    </row>
    <row r="4" spans="1:22">
      <c r="B4" s="13" t="s">
        <v>46</v>
      </c>
      <c r="C4" s="7">
        <v>23</v>
      </c>
      <c r="D4" s="7">
        <v>15</v>
      </c>
      <c r="E4" s="7">
        <v>21</v>
      </c>
      <c r="F4" s="7">
        <v>15</v>
      </c>
      <c r="G4" s="7">
        <v>3</v>
      </c>
      <c r="H4" s="7">
        <v>42</v>
      </c>
      <c r="I4" s="7">
        <v>2</v>
      </c>
      <c r="J4" s="7">
        <v>1</v>
      </c>
      <c r="K4" s="7">
        <v>2</v>
      </c>
      <c r="L4" s="7">
        <v>18</v>
      </c>
      <c r="U4" s="7">
        <v>21</v>
      </c>
      <c r="V4" s="7">
        <v>163</v>
      </c>
    </row>
    <row r="5" spans="1:22">
      <c r="B5" s="7" t="s">
        <v>47</v>
      </c>
      <c r="C5" s="7">
        <v>1</v>
      </c>
      <c r="V5" s="7">
        <v>1</v>
      </c>
    </row>
    <row r="6" spans="1:22">
      <c r="B6" s="7" t="s">
        <v>32</v>
      </c>
      <c r="H6" s="7">
        <v>1</v>
      </c>
      <c r="V6" s="7">
        <v>1</v>
      </c>
    </row>
    <row r="7" spans="1:22">
      <c r="B7" s="13" t="s">
        <v>48</v>
      </c>
      <c r="C7" s="7">
        <v>14</v>
      </c>
      <c r="D7" s="7">
        <v>1</v>
      </c>
      <c r="E7" s="7">
        <v>3.75</v>
      </c>
      <c r="F7" s="7">
        <v>2.5</v>
      </c>
      <c r="H7" s="7">
        <v>13</v>
      </c>
      <c r="K7" s="7">
        <v>1</v>
      </c>
      <c r="N7" s="7">
        <v>0.25</v>
      </c>
      <c r="S7" s="7">
        <v>15</v>
      </c>
      <c r="V7" s="7">
        <v>50.5</v>
      </c>
    </row>
    <row r="8" spans="1:22">
      <c r="B8" s="7" t="s">
        <v>33</v>
      </c>
      <c r="E8" s="7">
        <v>1</v>
      </c>
      <c r="K8" s="7">
        <v>1</v>
      </c>
      <c r="V8" s="7">
        <v>2</v>
      </c>
    </row>
    <row r="9" spans="1:22">
      <c r="B9" s="13" t="s">
        <v>49</v>
      </c>
      <c r="C9" s="7">
        <v>6</v>
      </c>
      <c r="F9" s="7">
        <v>1</v>
      </c>
      <c r="H9" s="7">
        <v>6</v>
      </c>
      <c r="S9" s="7">
        <v>5</v>
      </c>
      <c r="V9" s="7">
        <v>18</v>
      </c>
    </row>
    <row r="10" spans="1:22">
      <c r="B10" s="7" t="s">
        <v>50</v>
      </c>
      <c r="C10" s="7">
        <v>1</v>
      </c>
      <c r="F10" s="7">
        <v>1</v>
      </c>
      <c r="H10" s="7">
        <v>1</v>
      </c>
      <c r="P10" s="7">
        <v>1</v>
      </c>
      <c r="V10" s="7">
        <v>4</v>
      </c>
    </row>
    <row r="11" spans="1:22">
      <c r="B11" s="7" t="s">
        <v>34</v>
      </c>
      <c r="C11" s="7">
        <v>9</v>
      </c>
      <c r="D11" s="7">
        <v>1</v>
      </c>
      <c r="E11" s="7">
        <v>0.6</v>
      </c>
      <c r="H11" s="7">
        <v>6</v>
      </c>
      <c r="K11" s="7">
        <v>2</v>
      </c>
      <c r="L11" s="7">
        <v>1</v>
      </c>
      <c r="M11" s="7">
        <v>3</v>
      </c>
      <c r="N11" s="7">
        <v>3</v>
      </c>
      <c r="S11" s="7">
        <v>2</v>
      </c>
      <c r="V11" s="7">
        <v>27.6</v>
      </c>
    </row>
    <row r="12" spans="1:22">
      <c r="B12" s="7" t="s">
        <v>51</v>
      </c>
      <c r="C12" s="7">
        <v>4</v>
      </c>
      <c r="H12" s="7">
        <v>4</v>
      </c>
      <c r="V12" s="7">
        <v>8</v>
      </c>
    </row>
    <row r="13" spans="1:22">
      <c r="B13" s="7" t="s">
        <v>36</v>
      </c>
      <c r="C13" s="7">
        <v>9</v>
      </c>
      <c r="E13" s="7">
        <v>5.25</v>
      </c>
      <c r="F13" s="7">
        <v>1</v>
      </c>
      <c r="H13" s="7">
        <v>10.5</v>
      </c>
      <c r="I13" s="7">
        <v>1</v>
      </c>
      <c r="J13" s="7">
        <v>4</v>
      </c>
      <c r="K13" s="7">
        <v>2</v>
      </c>
      <c r="N13" s="7">
        <v>1</v>
      </c>
      <c r="R13" s="7">
        <v>1</v>
      </c>
      <c r="V13" s="7">
        <v>34.75</v>
      </c>
    </row>
    <row r="14" spans="1:22">
      <c r="B14" s="7" t="s">
        <v>52</v>
      </c>
      <c r="C14" s="7">
        <v>7</v>
      </c>
      <c r="H14" s="7">
        <v>3</v>
      </c>
      <c r="V14" s="7">
        <v>10</v>
      </c>
    </row>
    <row r="15" spans="1:22">
      <c r="B15" s="7" t="s">
        <v>53</v>
      </c>
      <c r="P15" s="7">
        <v>1</v>
      </c>
      <c r="V15" s="7">
        <v>1</v>
      </c>
    </row>
    <row r="16" spans="1:22">
      <c r="B16" s="7" t="s">
        <v>54</v>
      </c>
      <c r="P16" s="7">
        <v>1</v>
      </c>
      <c r="V16" s="7">
        <v>1</v>
      </c>
    </row>
    <row r="17" spans="1:22">
      <c r="B17" s="7" t="s">
        <v>55</v>
      </c>
      <c r="H17" s="7">
        <v>0.5</v>
      </c>
      <c r="V17" s="7">
        <v>0.5</v>
      </c>
    </row>
    <row r="18" spans="1:22">
      <c r="B18" s="7" t="s">
        <v>56</v>
      </c>
      <c r="E18" s="7">
        <v>0.1</v>
      </c>
      <c r="V18" s="7">
        <v>0.1</v>
      </c>
    </row>
    <row r="19" spans="1:22">
      <c r="B19" s="7" t="s">
        <v>57</v>
      </c>
      <c r="P19" s="7">
        <v>2</v>
      </c>
      <c r="V19" s="7">
        <v>2</v>
      </c>
    </row>
    <row r="20" spans="1:22">
      <c r="B20" s="7" t="s">
        <v>58</v>
      </c>
      <c r="P20" s="7">
        <v>10</v>
      </c>
      <c r="V20" s="7">
        <v>10</v>
      </c>
    </row>
    <row r="21" spans="1:22">
      <c r="A21" s="7" t="s">
        <v>18</v>
      </c>
      <c r="C21" s="7">
        <v>118.625</v>
      </c>
      <c r="D21" s="7">
        <v>21.2</v>
      </c>
      <c r="E21" s="7">
        <v>37.700000000000003</v>
      </c>
      <c r="F21" s="7">
        <v>30.6</v>
      </c>
      <c r="G21" s="7">
        <v>71</v>
      </c>
      <c r="H21" s="7">
        <v>148</v>
      </c>
      <c r="I21" s="7">
        <v>5</v>
      </c>
      <c r="J21" s="7">
        <v>10</v>
      </c>
      <c r="K21" s="7">
        <v>30</v>
      </c>
      <c r="L21" s="7">
        <v>21</v>
      </c>
      <c r="M21" s="7">
        <v>25</v>
      </c>
      <c r="N21" s="7">
        <v>10.75</v>
      </c>
      <c r="O21" s="7">
        <v>0.1</v>
      </c>
      <c r="P21" s="7">
        <v>27.5</v>
      </c>
      <c r="Q21" s="7">
        <v>1</v>
      </c>
      <c r="R21" s="7">
        <v>26</v>
      </c>
      <c r="S21" s="7">
        <v>26</v>
      </c>
      <c r="T21" s="7">
        <v>0.5</v>
      </c>
      <c r="U21" s="7">
        <v>41.725000000000001</v>
      </c>
      <c r="V21" s="7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41</v>
      </c>
      <c r="P1" s="2" t="s">
        <v>14</v>
      </c>
      <c r="Q1" s="2" t="s">
        <v>42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>
      <c r="A2" s="1" t="s">
        <v>59</v>
      </c>
      <c r="B2" s="1" t="s">
        <v>60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>
        <v>1</v>
      </c>
    </row>
    <row r="3" spans="1:21">
      <c r="A3" s="4"/>
      <c r="B3" s="6" t="s">
        <v>61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>
        <v>1</v>
      </c>
    </row>
    <row r="4" spans="1:21">
      <c r="A4" s="4"/>
      <c r="B4" s="6" t="s">
        <v>62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</v>
      </c>
      <c r="U4" s="8">
        <v>1</v>
      </c>
    </row>
    <row r="5" spans="1:21">
      <c r="A5" s="4"/>
      <c r="B5" s="6" t="s">
        <v>63</v>
      </c>
      <c r="C5" s="6">
        <v>3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I5" s="7"/>
      <c r="J5" s="7"/>
      <c r="K5" s="7"/>
      <c r="L5" s="7"/>
      <c r="M5" s="7"/>
      <c r="N5" s="7">
        <v>0.5</v>
      </c>
      <c r="O5" s="7"/>
      <c r="P5" s="7">
        <v>1</v>
      </c>
      <c r="Q5" s="7"/>
      <c r="R5" s="7">
        <v>2</v>
      </c>
      <c r="S5" s="7">
        <v>1</v>
      </c>
      <c r="T5" s="7">
        <v>1</v>
      </c>
      <c r="U5" s="8">
        <v>16.5</v>
      </c>
    </row>
    <row r="6" spans="1:21">
      <c r="A6" s="4"/>
      <c r="B6" s="6" t="s">
        <v>64</v>
      </c>
      <c r="C6" s="6"/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8">
        <v>2</v>
      </c>
    </row>
    <row r="7" spans="1:21">
      <c r="A7" s="4"/>
      <c r="B7" s="6" t="s">
        <v>65</v>
      </c>
      <c r="C7" s="6"/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>
        <v>1</v>
      </c>
    </row>
    <row r="8" spans="1:21">
      <c r="A8" s="4"/>
      <c r="B8" s="6" t="s">
        <v>66</v>
      </c>
      <c r="C8" s="6">
        <v>1</v>
      </c>
      <c r="D8" s="7"/>
      <c r="E8" s="7"/>
      <c r="F8" s="7">
        <v>0.5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8">
        <v>2.5</v>
      </c>
    </row>
    <row r="9" spans="1:21">
      <c r="A9" s="4"/>
      <c r="B9" s="6" t="s">
        <v>67</v>
      </c>
      <c r="C9" s="6"/>
      <c r="D9" s="7"/>
      <c r="E9" s="7"/>
      <c r="F9" s="7"/>
      <c r="G9" s="7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v>8</v>
      </c>
    </row>
    <row r="10" spans="1:21">
      <c r="A10" s="4"/>
      <c r="B10" s="6" t="s">
        <v>68</v>
      </c>
      <c r="C10" s="6"/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v>1</v>
      </c>
    </row>
    <row r="11" spans="1:21">
      <c r="A11" s="4"/>
      <c r="B11" s="5" t="s">
        <v>69</v>
      </c>
      <c r="C11" s="6">
        <v>1</v>
      </c>
      <c r="D11" s="7"/>
      <c r="E11" s="7"/>
      <c r="F11" s="7">
        <v>2.5</v>
      </c>
      <c r="G11" s="7"/>
      <c r="H11" s="7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7</v>
      </c>
      <c r="T11" s="7"/>
      <c r="U11" s="8">
        <v>16.5</v>
      </c>
    </row>
    <row r="12" spans="1:21">
      <c r="A12" s="4"/>
      <c r="B12" s="6" t="s">
        <v>70</v>
      </c>
      <c r="C12" s="6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v>4</v>
      </c>
    </row>
    <row r="13" spans="1:21">
      <c r="A13" s="4"/>
      <c r="B13" s="6" t="s">
        <v>71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v>1</v>
      </c>
      <c r="T13" s="7"/>
      <c r="U13" s="8">
        <v>1</v>
      </c>
    </row>
    <row r="14" spans="1:21">
      <c r="A14" s="4"/>
      <c r="B14" s="6" t="s">
        <v>72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8</v>
      </c>
      <c r="T14" s="7"/>
      <c r="U14" s="8">
        <v>8</v>
      </c>
    </row>
    <row r="15" spans="1:21">
      <c r="A15" s="4"/>
      <c r="B15" s="6" t="s">
        <v>73</v>
      </c>
      <c r="C15" s="6"/>
      <c r="D15" s="7"/>
      <c r="E15" s="7"/>
      <c r="F15" s="7"/>
      <c r="G15" s="7"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v>7</v>
      </c>
    </row>
    <row r="16" spans="1:21">
      <c r="A16" s="4"/>
      <c r="B16" s="6" t="s">
        <v>74</v>
      </c>
      <c r="C16" s="6"/>
      <c r="D16" s="7"/>
      <c r="E16" s="7"/>
      <c r="F16" s="7"/>
      <c r="G16" s="7"/>
      <c r="H16" s="7">
        <v>0.5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v>0.5</v>
      </c>
    </row>
    <row r="17" spans="1:21">
      <c r="A17" s="4"/>
      <c r="B17" s="6" t="s">
        <v>75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v>1</v>
      </c>
    </row>
    <row r="18" spans="1:21">
      <c r="A18" s="4"/>
      <c r="B18" s="6" t="s">
        <v>76</v>
      </c>
      <c r="C18" s="6"/>
      <c r="D18" s="7"/>
      <c r="E18" s="7"/>
      <c r="F18" s="7"/>
      <c r="G18" s="7"/>
      <c r="H18" s="7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>
        <v>1</v>
      </c>
      <c r="T18" s="7"/>
      <c r="U18" s="8">
        <v>2</v>
      </c>
    </row>
    <row r="19" spans="1:21">
      <c r="A19" s="4"/>
      <c r="B19" s="6" t="s">
        <v>77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3</v>
      </c>
      <c r="T19" s="7"/>
      <c r="U19" s="8">
        <v>3</v>
      </c>
    </row>
    <row r="20" spans="1:21">
      <c r="A20" s="4"/>
      <c r="B20" s="6" t="s">
        <v>78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>
        <v>3</v>
      </c>
      <c r="T20" s="7"/>
      <c r="U20" s="8">
        <v>3</v>
      </c>
    </row>
    <row r="21" spans="1:21">
      <c r="A21" s="4"/>
      <c r="B21" s="6" t="s">
        <v>79</v>
      </c>
      <c r="C21" s="6"/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>
        <v>2</v>
      </c>
    </row>
    <row r="22" spans="1:21">
      <c r="A22" s="4"/>
      <c r="B22" s="6" t="s">
        <v>80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>
        <v>1</v>
      </c>
    </row>
    <row r="23" spans="1:21">
      <c r="A23" s="4"/>
      <c r="B23" s="6" t="s">
        <v>81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0.5</v>
      </c>
      <c r="U23" s="8">
        <v>0.5</v>
      </c>
    </row>
    <row r="24" spans="1:21">
      <c r="A24" s="4"/>
      <c r="B24" s="6" t="s">
        <v>82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</v>
      </c>
    </row>
    <row r="25" spans="1:21">
      <c r="A25" s="4"/>
      <c r="B25" s="5" t="s">
        <v>83</v>
      </c>
      <c r="C25" s="6"/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v>3</v>
      </c>
    </row>
    <row r="26" spans="1:21">
      <c r="A26" s="4"/>
      <c r="B26" s="6" t="s">
        <v>84</v>
      </c>
      <c r="C26" s="6"/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</row>
    <row r="27" spans="1:21">
      <c r="A27" s="4"/>
      <c r="B27" s="6" t="s">
        <v>85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>
        <v>1</v>
      </c>
      <c r="T27" s="7"/>
      <c r="U27" s="8">
        <v>1</v>
      </c>
    </row>
    <row r="28" spans="1:21">
      <c r="A28" s="4"/>
      <c r="B28" s="6" t="s">
        <v>86</v>
      </c>
      <c r="C28" s="6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v>1</v>
      </c>
    </row>
    <row r="29" spans="1:21">
      <c r="A29" s="4"/>
      <c r="B29" s="6" t="s">
        <v>87</v>
      </c>
      <c r="C29" s="6"/>
      <c r="D29" s="7"/>
      <c r="E29" s="7"/>
      <c r="F29" s="7"/>
      <c r="G29" s="7"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v>6</v>
      </c>
    </row>
    <row r="30" spans="1:21">
      <c r="A30" s="4"/>
      <c r="B30" s="6" t="s">
        <v>88</v>
      </c>
      <c r="C30" s="6">
        <v>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v>2</v>
      </c>
    </row>
    <row r="31" spans="1:21">
      <c r="A31" s="4"/>
      <c r="B31" s="6" t="s">
        <v>89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7"/>
      <c r="U31" s="8">
        <v>1</v>
      </c>
    </row>
    <row r="32" spans="1:21">
      <c r="A32" s="4"/>
      <c r="B32" s="6" t="s">
        <v>90</v>
      </c>
      <c r="C32" s="6"/>
      <c r="D32" s="7"/>
      <c r="E32" s="7"/>
      <c r="F32" s="7"/>
      <c r="G32" s="7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v>3</v>
      </c>
    </row>
    <row r="33" spans="1:21">
      <c r="A33" s="4"/>
      <c r="B33" s="6" t="s">
        <v>91</v>
      </c>
      <c r="C33" s="6">
        <v>19</v>
      </c>
      <c r="D33" s="7"/>
      <c r="E33" s="7"/>
      <c r="F33" s="7">
        <v>1</v>
      </c>
      <c r="G33" s="7"/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/>
      <c r="U33" s="8">
        <v>25</v>
      </c>
    </row>
    <row r="34" spans="1:21">
      <c r="A34" s="4"/>
      <c r="B34" s="6" t="s">
        <v>92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2</v>
      </c>
      <c r="T34" s="7"/>
      <c r="U34" s="8">
        <v>2</v>
      </c>
    </row>
    <row r="35" spans="1:21">
      <c r="A35" s="4"/>
      <c r="B35" s="6" t="s">
        <v>93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>
        <v>1</v>
      </c>
    </row>
    <row r="36" spans="1:21">
      <c r="A36" s="4"/>
      <c r="B36" s="6" t="s">
        <v>94</v>
      </c>
      <c r="C36" s="6"/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>
        <v>2</v>
      </c>
    </row>
    <row r="37" spans="1:21">
      <c r="A37" s="4"/>
      <c r="B37" s="6" t="s">
        <v>95</v>
      </c>
      <c r="C37" s="6"/>
      <c r="D37" s="7"/>
      <c r="E37" s="7"/>
      <c r="F37" s="7"/>
      <c r="G37" s="7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</row>
    <row r="38" spans="1:21">
      <c r="A38" s="4"/>
      <c r="B38" s="6" t="s">
        <v>96</v>
      </c>
      <c r="C38" s="6"/>
      <c r="D38" s="7"/>
      <c r="E38" s="7"/>
      <c r="F38" s="7"/>
      <c r="G38" s="7">
        <v>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>
        <v>8</v>
      </c>
    </row>
    <row r="39" spans="1:21">
      <c r="A39" s="4"/>
      <c r="B39" s="6" t="s">
        <v>97</v>
      </c>
      <c r="C39" s="6"/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>
        <v>1</v>
      </c>
    </row>
    <row r="40" spans="1:21">
      <c r="A40" s="4"/>
      <c r="B40" s="6" t="s">
        <v>98</v>
      </c>
      <c r="C40" s="6"/>
      <c r="D40" s="7"/>
      <c r="E40" s="7">
        <v>0.3</v>
      </c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7"/>
      <c r="S40" s="7"/>
      <c r="T40" s="7"/>
      <c r="U40" s="8">
        <v>1.3</v>
      </c>
    </row>
    <row r="41" spans="1:21">
      <c r="A41" s="4"/>
      <c r="B41" s="1" t="s">
        <v>99</v>
      </c>
      <c r="C41" s="1"/>
      <c r="D41" s="2"/>
      <c r="E41" s="2">
        <v>0.1</v>
      </c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2"/>
      <c r="U41" s="3">
        <v>1.1000000000000001</v>
      </c>
    </row>
    <row r="42" spans="1:21">
      <c r="A42" s="4"/>
      <c r="B42" s="1" t="s">
        <v>100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/>
      <c r="U42" s="3">
        <v>1</v>
      </c>
    </row>
    <row r="43" spans="1:21">
      <c r="A43" s="4"/>
      <c r="B43" s="5" t="s">
        <v>101</v>
      </c>
      <c r="C43" s="6">
        <v>11</v>
      </c>
      <c r="D43" s="7">
        <v>3</v>
      </c>
      <c r="E43" s="7"/>
      <c r="F43" s="7"/>
      <c r="G43" s="7">
        <v>3</v>
      </c>
      <c r="H43" s="7">
        <v>13</v>
      </c>
      <c r="I43" s="7"/>
      <c r="J43" s="7"/>
      <c r="K43" s="7">
        <v>3</v>
      </c>
      <c r="L43" s="7"/>
      <c r="M43" s="7"/>
      <c r="N43" s="7"/>
      <c r="O43" s="7"/>
      <c r="P43" s="7">
        <v>1</v>
      </c>
      <c r="Q43" s="7"/>
      <c r="R43" s="7"/>
      <c r="S43" s="7"/>
      <c r="T43" s="7">
        <v>2</v>
      </c>
      <c r="U43" s="8">
        <v>36</v>
      </c>
    </row>
    <row r="44" spans="1:21">
      <c r="A44" s="4"/>
      <c r="B44" s="6" t="s">
        <v>102</v>
      </c>
      <c r="C44" s="6"/>
      <c r="D44" s="7"/>
      <c r="E44" s="7"/>
      <c r="F44" s="7"/>
      <c r="G44" s="7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>
        <v>1</v>
      </c>
    </row>
    <row r="45" spans="1:21">
      <c r="A45" s="4"/>
      <c r="B45" s="6" t="s">
        <v>103</v>
      </c>
      <c r="C45" s="6"/>
      <c r="D45" s="7"/>
      <c r="E45" s="7"/>
      <c r="F45" s="7"/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>
        <v>2</v>
      </c>
    </row>
    <row r="46" spans="1:21">
      <c r="A46" s="4"/>
      <c r="B46" s="6" t="s">
        <v>104</v>
      </c>
      <c r="C46" s="6">
        <v>6</v>
      </c>
      <c r="D46" s="7"/>
      <c r="E46" s="7"/>
      <c r="F46" s="7">
        <v>1</v>
      </c>
      <c r="G46" s="7"/>
      <c r="H46" s="7">
        <v>2</v>
      </c>
      <c r="I46" s="7"/>
      <c r="J46" s="7">
        <v>2</v>
      </c>
      <c r="K46" s="7"/>
      <c r="L46" s="7"/>
      <c r="M46" s="7">
        <v>1</v>
      </c>
      <c r="N46" s="7"/>
      <c r="O46" s="7"/>
      <c r="P46" s="7"/>
      <c r="Q46" s="7"/>
      <c r="R46" s="7"/>
      <c r="S46" s="7"/>
      <c r="T46" s="7"/>
      <c r="U46" s="8">
        <v>12</v>
      </c>
    </row>
    <row r="47" spans="1:21">
      <c r="A47" s="4"/>
      <c r="B47" s="6" t="s">
        <v>105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>
        <v>2</v>
      </c>
    </row>
    <row r="48" spans="1:21">
      <c r="A48" s="4"/>
      <c r="B48" s="6" t="s">
        <v>106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1</v>
      </c>
      <c r="T48" s="7"/>
      <c r="U48" s="8">
        <v>1</v>
      </c>
    </row>
    <row r="49" spans="1:21">
      <c r="A49" s="4"/>
      <c r="B49" s="6" t="s">
        <v>107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1</v>
      </c>
      <c r="Q49" s="7"/>
      <c r="R49" s="7"/>
      <c r="S49" s="7"/>
      <c r="T49" s="7"/>
      <c r="U49" s="8">
        <v>1</v>
      </c>
    </row>
    <row r="50" spans="1:21">
      <c r="A50" s="4"/>
      <c r="B50" s="6" t="s">
        <v>108</v>
      </c>
      <c r="C50" s="6">
        <v>1</v>
      </c>
      <c r="D50" s="7"/>
      <c r="E50" s="7"/>
      <c r="F50" s="7"/>
      <c r="G50" s="7"/>
      <c r="H50" s="7">
        <v>1</v>
      </c>
      <c r="I50" s="7"/>
      <c r="J50" s="7">
        <v>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8">
        <v>4</v>
      </c>
    </row>
    <row r="51" spans="1:21">
      <c r="A51" s="4"/>
      <c r="B51" s="5" t="s">
        <v>109</v>
      </c>
      <c r="C51" s="6">
        <v>11</v>
      </c>
      <c r="D51" s="7"/>
      <c r="E51" s="7">
        <v>0.2</v>
      </c>
      <c r="F51" s="7"/>
      <c r="G51" s="7"/>
      <c r="H51" s="7">
        <v>2</v>
      </c>
      <c r="I51" s="7"/>
      <c r="J51" s="7"/>
      <c r="K51" s="7"/>
      <c r="L51" s="7"/>
      <c r="M51" s="7"/>
      <c r="N51" s="7">
        <v>2</v>
      </c>
      <c r="O51" s="7"/>
      <c r="P51" s="7"/>
      <c r="Q51" s="7"/>
      <c r="R51" s="7"/>
      <c r="S51" s="7">
        <v>1</v>
      </c>
      <c r="T51" s="7"/>
      <c r="U51" s="8">
        <v>16.2</v>
      </c>
    </row>
    <row r="52" spans="1:21">
      <c r="A52" s="4"/>
      <c r="B52" s="6" t="s">
        <v>110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>
        <v>1</v>
      </c>
    </row>
    <row r="53" spans="1:21">
      <c r="A53" s="4"/>
      <c r="B53" s="6" t="s">
        <v>111</v>
      </c>
      <c r="C53" s="6">
        <v>1</v>
      </c>
      <c r="D53" s="7">
        <v>1</v>
      </c>
      <c r="E53" s="7"/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3</v>
      </c>
      <c r="T53" s="7"/>
      <c r="U53" s="8">
        <v>6</v>
      </c>
    </row>
    <row r="54" spans="1:21">
      <c r="A54" s="4"/>
      <c r="B54" s="6" t="s">
        <v>112</v>
      </c>
      <c r="C54" s="6"/>
      <c r="D54" s="7"/>
      <c r="E54" s="7"/>
      <c r="F54" s="7"/>
      <c r="G54" s="7"/>
      <c r="H54" s="7">
        <v>1</v>
      </c>
      <c r="I54" s="7"/>
      <c r="J54" s="7"/>
      <c r="K54" s="7">
        <v>1</v>
      </c>
      <c r="L54" s="7"/>
      <c r="M54" s="7"/>
      <c r="N54" s="7"/>
      <c r="O54" s="7"/>
      <c r="P54" s="7"/>
      <c r="Q54" s="7"/>
      <c r="R54" s="7"/>
      <c r="S54" s="7"/>
      <c r="T54" s="7"/>
      <c r="U54" s="8">
        <v>2</v>
      </c>
    </row>
    <row r="55" spans="1:21">
      <c r="A55" s="4"/>
      <c r="B55" s="6" t="s">
        <v>113</v>
      </c>
      <c r="C55" s="6"/>
      <c r="D55" s="7"/>
      <c r="E55" s="7"/>
      <c r="F55" s="7"/>
      <c r="G55" s="7">
        <v>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>
        <v>1</v>
      </c>
    </row>
    <row r="56" spans="1:21">
      <c r="A56" s="4"/>
      <c r="B56" s="6" t="s">
        <v>114</v>
      </c>
      <c r="C56" s="6"/>
      <c r="D56" s="7"/>
      <c r="E56" s="7"/>
      <c r="F56" s="7">
        <v>1</v>
      </c>
      <c r="G56" s="7"/>
      <c r="H56" s="7">
        <v>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>
        <v>2</v>
      </c>
    </row>
    <row r="57" spans="1:21">
      <c r="A57" s="4"/>
      <c r="B57" s="6" t="s">
        <v>115</v>
      </c>
      <c r="C57" s="6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>
        <v>1</v>
      </c>
    </row>
    <row r="58" spans="1:21">
      <c r="A58" s="4"/>
      <c r="B58" s="6" t="s">
        <v>116</v>
      </c>
      <c r="C58" s="6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</v>
      </c>
      <c r="T58" s="7"/>
      <c r="U58" s="8">
        <v>2</v>
      </c>
    </row>
    <row r="59" spans="1:21">
      <c r="A59" s="4"/>
      <c r="B59" s="6" t="s">
        <v>117</v>
      </c>
      <c r="C59" s="6"/>
      <c r="D59" s="7"/>
      <c r="E59" s="7"/>
      <c r="F59" s="7">
        <v>1</v>
      </c>
      <c r="G59" s="7"/>
      <c r="H59" s="7">
        <v>1.25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>
        <v>2.25</v>
      </c>
    </row>
    <row r="60" spans="1:21">
      <c r="A60" s="4"/>
      <c r="B60" s="6" t="s">
        <v>118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>
        <v>1</v>
      </c>
    </row>
    <row r="61" spans="1:21">
      <c r="A61" s="4"/>
      <c r="B61" s="6" t="s">
        <v>119</v>
      </c>
      <c r="C61" s="6"/>
      <c r="D61" s="7"/>
      <c r="E61" s="7"/>
      <c r="F61" s="7"/>
      <c r="G61" s="7"/>
      <c r="H61" s="7"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>
        <v>1</v>
      </c>
    </row>
    <row r="62" spans="1:21">
      <c r="A62" s="4"/>
      <c r="B62" s="6" t="s">
        <v>120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1</v>
      </c>
      <c r="T62" s="7"/>
      <c r="U62" s="8">
        <v>1</v>
      </c>
    </row>
    <row r="63" spans="1:21">
      <c r="A63" s="4"/>
      <c r="B63" s="6" t="s">
        <v>121</v>
      </c>
      <c r="C63" s="6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</row>
    <row r="64" spans="1:21">
      <c r="A64" s="4"/>
      <c r="B64" s="6" t="s">
        <v>122</v>
      </c>
      <c r="C64" s="6"/>
      <c r="D64" s="7"/>
      <c r="E64" s="7"/>
      <c r="F64" s="7"/>
      <c r="G64" s="7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>
        <v>1</v>
      </c>
    </row>
    <row r="65" spans="1:21">
      <c r="A65" s="4"/>
      <c r="B65" s="6" t="s">
        <v>123</v>
      </c>
      <c r="C65" s="6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</v>
      </c>
    </row>
    <row r="66" spans="1:21">
      <c r="A66" s="4"/>
      <c r="B66" s="6" t="s">
        <v>124</v>
      </c>
      <c r="C66" s="6"/>
      <c r="D66" s="7"/>
      <c r="E66" s="7"/>
      <c r="F66" s="7"/>
      <c r="G66" s="7"/>
      <c r="H66" s="7"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>
        <v>4</v>
      </c>
    </row>
    <row r="67" spans="1:21">
      <c r="A67" s="4"/>
      <c r="B67" s="6" t="s">
        <v>125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>
        <v>1</v>
      </c>
    </row>
    <row r="68" spans="1:21">
      <c r="A68" s="4"/>
      <c r="B68" s="6" t="s">
        <v>126</v>
      </c>
      <c r="C68" s="6"/>
      <c r="D68" s="7"/>
      <c r="E68" s="7">
        <v>0.75</v>
      </c>
      <c r="F68" s="7"/>
      <c r="G68" s="7"/>
      <c r="H68" s="7"/>
      <c r="I68" s="7"/>
      <c r="J68" s="7"/>
      <c r="K68" s="7"/>
      <c r="L68" s="7"/>
      <c r="M68" s="7"/>
      <c r="N68" s="7">
        <v>0.25</v>
      </c>
      <c r="O68" s="7"/>
      <c r="P68" s="7"/>
      <c r="Q68" s="7"/>
      <c r="R68" s="7"/>
      <c r="S68" s="7"/>
      <c r="T68" s="7"/>
      <c r="U68" s="8">
        <v>1</v>
      </c>
    </row>
    <row r="69" spans="1:21">
      <c r="A69" s="4"/>
      <c r="B69" s="6" t="s">
        <v>127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>
        <v>1</v>
      </c>
    </row>
    <row r="70" spans="1:21">
      <c r="A70" s="4"/>
      <c r="B70" s="6" t="s">
        <v>128</v>
      </c>
      <c r="C70" s="6"/>
      <c r="D70" s="7"/>
      <c r="E70" s="7"/>
      <c r="F70" s="7"/>
      <c r="G70" s="7"/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>
        <v>1</v>
      </c>
    </row>
    <row r="71" spans="1:21">
      <c r="A71" s="4"/>
      <c r="B71" s="6" t="s">
        <v>129</v>
      </c>
      <c r="C71" s="6">
        <v>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>
        <v>1</v>
      </c>
    </row>
    <row r="72" spans="1:21">
      <c r="A72" s="4"/>
      <c r="B72" s="6" t="s">
        <v>130</v>
      </c>
      <c r="C72" s="6">
        <v>1</v>
      </c>
      <c r="D72" s="7"/>
      <c r="E72" s="7"/>
      <c r="F72" s="7"/>
      <c r="G72" s="7"/>
      <c r="H72" s="7">
        <v>1</v>
      </c>
      <c r="I72" s="7"/>
      <c r="J72" s="7">
        <v>1</v>
      </c>
      <c r="K72" s="7"/>
      <c r="L72" s="7">
        <v>3</v>
      </c>
      <c r="M72" s="7">
        <v>1</v>
      </c>
      <c r="N72" s="7"/>
      <c r="O72" s="7"/>
      <c r="P72" s="7"/>
      <c r="Q72" s="7"/>
      <c r="R72" s="7"/>
      <c r="S72" s="7"/>
      <c r="T72" s="7"/>
      <c r="U72" s="8">
        <v>7</v>
      </c>
    </row>
    <row r="73" spans="1:21">
      <c r="A73" s="4"/>
      <c r="B73" s="6" t="s">
        <v>131</v>
      </c>
      <c r="C73" s="6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</v>
      </c>
      <c r="U73" s="8">
        <v>3</v>
      </c>
    </row>
    <row r="74" spans="1:21">
      <c r="A74" s="4"/>
      <c r="B74" s="6" t="s">
        <v>132</v>
      </c>
      <c r="C74" s="6"/>
      <c r="D74" s="7"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>
        <v>1</v>
      </c>
    </row>
    <row r="75" spans="1:21">
      <c r="A75" s="4"/>
      <c r="B75" s="6" t="s">
        <v>133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>
        <v>1</v>
      </c>
    </row>
    <row r="76" spans="1:21">
      <c r="A76" s="4"/>
      <c r="B76" s="6" t="s">
        <v>134</v>
      </c>
      <c r="C76" s="6">
        <v>2.2999999999999998</v>
      </c>
      <c r="D76" s="7"/>
      <c r="E76" s="7"/>
      <c r="F76" s="7"/>
      <c r="G76" s="7">
        <v>1</v>
      </c>
      <c r="H76" s="7">
        <v>1</v>
      </c>
      <c r="I76" s="7">
        <v>1</v>
      </c>
      <c r="J76" s="7">
        <v>3.3</v>
      </c>
      <c r="K76" s="7"/>
      <c r="L76" s="7">
        <v>5</v>
      </c>
      <c r="M76" s="7"/>
      <c r="N76" s="7"/>
      <c r="O76" s="7"/>
      <c r="P76" s="7"/>
      <c r="Q76" s="7"/>
      <c r="R76" s="7"/>
      <c r="S76" s="7"/>
      <c r="T76" s="7"/>
      <c r="U76" s="8">
        <v>13.6</v>
      </c>
    </row>
    <row r="77" spans="1:21">
      <c r="A77" s="4"/>
      <c r="B77" s="6" t="s">
        <v>135</v>
      </c>
      <c r="C77" s="6"/>
      <c r="D77" s="7"/>
      <c r="E77" s="7"/>
      <c r="F77" s="7"/>
      <c r="G77" s="7"/>
      <c r="H77" s="7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>
        <v>1</v>
      </c>
    </row>
    <row r="78" spans="1:21">
      <c r="A78" s="4"/>
      <c r="B78" s="6" t="s">
        <v>136</v>
      </c>
      <c r="C78" s="6">
        <v>1</v>
      </c>
      <c r="D78" s="7"/>
      <c r="E78" s="7"/>
      <c r="F78" s="7"/>
      <c r="G78" s="7"/>
      <c r="H78" s="7">
        <v>1.3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>
        <v>2.2999999999999998</v>
      </c>
    </row>
    <row r="79" spans="1:21">
      <c r="A79" s="4"/>
      <c r="B79" s="6" t="s">
        <v>137</v>
      </c>
      <c r="C79" s="6">
        <v>0.25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2</v>
      </c>
      <c r="T79" s="7"/>
      <c r="U79" s="8">
        <v>2.25</v>
      </c>
    </row>
    <row r="80" spans="1:21">
      <c r="A80" s="4"/>
      <c r="B80" s="6" t="s">
        <v>138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1</v>
      </c>
      <c r="Q80" s="7"/>
      <c r="R80" s="7"/>
      <c r="S80" s="7"/>
      <c r="T80" s="7"/>
      <c r="U80" s="8">
        <v>1</v>
      </c>
    </row>
    <row r="81" spans="1:21">
      <c r="A81" s="4"/>
      <c r="B81" s="6" t="s">
        <v>139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>
        <v>2</v>
      </c>
      <c r="Q81" s="7"/>
      <c r="R81" s="7"/>
      <c r="S81" s="7"/>
      <c r="T81" s="7"/>
      <c r="U81" s="8">
        <v>2</v>
      </c>
    </row>
    <row r="82" spans="1:21">
      <c r="A82" s="4"/>
      <c r="B82" s="6" t="s">
        <v>140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8">
        <v>1</v>
      </c>
    </row>
    <row r="83" spans="1:21">
      <c r="A83" s="4"/>
      <c r="B83" s="6" t="s">
        <v>141</v>
      </c>
      <c r="C83" s="6"/>
      <c r="D83" s="7"/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>
        <v>1</v>
      </c>
    </row>
    <row r="84" spans="1:21">
      <c r="A84" s="4"/>
      <c r="B84" s="6" t="s">
        <v>142</v>
      </c>
      <c r="C84" s="6"/>
      <c r="D84" s="7"/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>
        <v>1</v>
      </c>
    </row>
    <row r="85" spans="1:21">
      <c r="A85" s="4"/>
      <c r="B85" s="6" t="s">
        <v>143</v>
      </c>
      <c r="C85" s="6"/>
      <c r="D85" s="7"/>
      <c r="E85" s="7"/>
      <c r="F85" s="7"/>
      <c r="G85" s="7"/>
      <c r="H85" s="7">
        <v>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>
        <v>2</v>
      </c>
    </row>
    <row r="86" spans="1:21">
      <c r="A86" s="4"/>
      <c r="B86" s="5" t="s">
        <v>144</v>
      </c>
      <c r="C86" s="6">
        <v>15</v>
      </c>
      <c r="D86" s="7"/>
      <c r="E86" s="7"/>
      <c r="F86" s="7">
        <v>2</v>
      </c>
      <c r="G86" s="7"/>
      <c r="H86" s="7">
        <v>6</v>
      </c>
      <c r="I86" s="7"/>
      <c r="J86" s="7"/>
      <c r="K86" s="7">
        <v>4.5</v>
      </c>
      <c r="L86" s="7"/>
      <c r="M86" s="7"/>
      <c r="N86" s="7"/>
      <c r="O86" s="7"/>
      <c r="P86" s="7">
        <v>0.5</v>
      </c>
      <c r="Q86" s="7"/>
      <c r="R86" s="7"/>
      <c r="S86" s="7"/>
      <c r="T86" s="7"/>
      <c r="U86" s="8">
        <v>28</v>
      </c>
    </row>
    <row r="87" spans="1:21">
      <c r="A87" s="4"/>
      <c r="B87" s="6" t="s">
        <v>145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1</v>
      </c>
      <c r="T87" s="7"/>
      <c r="U87" s="8">
        <v>1</v>
      </c>
    </row>
    <row r="88" spans="1:21">
      <c r="A88" s="4"/>
      <c r="B88" s="6" t="s">
        <v>146</v>
      </c>
      <c r="C88" s="6"/>
      <c r="D88" s="7"/>
      <c r="E88" s="7"/>
      <c r="F88" s="7"/>
      <c r="G88" s="7"/>
      <c r="H88" s="7">
        <v>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>
        <v>1</v>
      </c>
    </row>
    <row r="89" spans="1:21">
      <c r="A89" s="4"/>
      <c r="B89" s="6" t="s">
        <v>147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1</v>
      </c>
    </row>
    <row r="90" spans="1:21">
      <c r="A90" s="4"/>
      <c r="B90" s="6" t="s">
        <v>148</v>
      </c>
      <c r="C90" s="6"/>
      <c r="D90" s="7"/>
      <c r="E90" s="7">
        <v>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>
        <v>2</v>
      </c>
    </row>
    <row r="91" spans="1:21">
      <c r="A91" s="4"/>
      <c r="B91" s="6" t="s">
        <v>149</v>
      </c>
      <c r="C91" s="6">
        <v>2</v>
      </c>
      <c r="D91" s="7"/>
      <c r="E91" s="7"/>
      <c r="F91" s="7"/>
      <c r="G91" s="7"/>
      <c r="H91" s="7">
        <v>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>
        <v>5</v>
      </c>
    </row>
    <row r="92" spans="1:21">
      <c r="A92" s="4"/>
      <c r="B92" s="6" t="s">
        <v>150</v>
      </c>
      <c r="C92" s="6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>
        <v>1</v>
      </c>
    </row>
    <row r="93" spans="1:21">
      <c r="A93" s="4"/>
      <c r="B93" s="6" t="s">
        <v>151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8">
        <v>1</v>
      </c>
    </row>
    <row r="94" spans="1:21">
      <c r="A94" s="4"/>
      <c r="B94" s="6" t="s">
        <v>152</v>
      </c>
      <c r="C94" s="6"/>
      <c r="D94" s="7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>
        <v>1</v>
      </c>
    </row>
    <row r="95" spans="1:21">
      <c r="A95" s="4"/>
      <c r="B95" s="6" t="s">
        <v>153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1</v>
      </c>
      <c r="Q95" s="7"/>
      <c r="R95" s="7"/>
      <c r="S95" s="7"/>
      <c r="T95" s="7"/>
      <c r="U95" s="8">
        <v>1</v>
      </c>
    </row>
    <row r="96" spans="1:21">
      <c r="A96" s="4"/>
      <c r="B96" s="6" t="s">
        <v>154</v>
      </c>
      <c r="C96" s="6">
        <v>1</v>
      </c>
      <c r="D96" s="7"/>
      <c r="E96" s="7"/>
      <c r="F96" s="7"/>
      <c r="G96" s="7">
        <v>1</v>
      </c>
      <c r="H96" s="7">
        <v>1</v>
      </c>
      <c r="I96" s="7"/>
      <c r="J96" s="7"/>
      <c r="K96" s="7"/>
      <c r="L96" s="7"/>
      <c r="M96" s="7"/>
      <c r="N96" s="7"/>
      <c r="O96" s="7">
        <v>0.1</v>
      </c>
      <c r="P96" s="7"/>
      <c r="Q96" s="7"/>
      <c r="R96" s="7"/>
      <c r="S96" s="7"/>
      <c r="T96" s="7"/>
      <c r="U96" s="8">
        <v>3.1</v>
      </c>
    </row>
    <row r="97" spans="1:21">
      <c r="A97" s="4"/>
      <c r="B97" s="6" t="s">
        <v>155</v>
      </c>
      <c r="C97" s="6"/>
      <c r="D97" s="7"/>
      <c r="E97" s="7">
        <v>1</v>
      </c>
      <c r="F97" s="7"/>
      <c r="G97" s="7"/>
      <c r="H97" s="7"/>
      <c r="I97" s="7"/>
      <c r="J97" s="7"/>
      <c r="K97" s="7"/>
      <c r="L97" s="7"/>
      <c r="M97" s="7"/>
      <c r="N97" s="7">
        <v>1</v>
      </c>
      <c r="O97" s="7"/>
      <c r="P97" s="7"/>
      <c r="Q97" s="7"/>
      <c r="R97" s="7"/>
      <c r="S97" s="7"/>
      <c r="T97" s="7"/>
      <c r="U97" s="8">
        <v>2</v>
      </c>
    </row>
    <row r="98" spans="1:21">
      <c r="A98" s="4"/>
      <c r="B98" s="6" t="s">
        <v>156</v>
      </c>
      <c r="C98" s="6"/>
      <c r="D98" s="7"/>
      <c r="E98" s="7"/>
      <c r="F98" s="7"/>
      <c r="G98" s="7"/>
      <c r="H98" s="7">
        <v>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>
        <v>2</v>
      </c>
    </row>
    <row r="99" spans="1:21">
      <c r="A99" s="4"/>
      <c r="B99" s="6" t="s">
        <v>157</v>
      </c>
      <c r="C99" s="6"/>
      <c r="D99" s="7"/>
      <c r="E99" s="7"/>
      <c r="F99" s="7"/>
      <c r="G99" s="7"/>
      <c r="H99" s="7">
        <v>1.3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>
        <v>1.3</v>
      </c>
    </row>
    <row r="100" spans="1:21">
      <c r="A100" s="4"/>
      <c r="B100" s="6" t="s">
        <v>158</v>
      </c>
      <c r="C100" s="6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/>
      <c r="P100" s="7"/>
      <c r="Q100" s="7"/>
      <c r="R100" s="7"/>
      <c r="S100" s="7"/>
      <c r="T100" s="7"/>
      <c r="U100" s="8">
        <v>3</v>
      </c>
    </row>
    <row r="101" spans="1:21">
      <c r="A101" s="4"/>
      <c r="B101" s="6" t="s">
        <v>159</v>
      </c>
      <c r="C101" s="6"/>
      <c r="D101" s="7"/>
      <c r="E101" s="7">
        <v>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>
        <v>2</v>
      </c>
    </row>
    <row r="102" spans="1:21">
      <c r="A102" s="4"/>
      <c r="B102" s="6" t="s">
        <v>160</v>
      </c>
      <c r="C102" s="6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>
        <v>1</v>
      </c>
    </row>
    <row r="103" spans="1:21">
      <c r="A103" s="4"/>
      <c r="B103" s="6" t="s">
        <v>161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1</v>
      </c>
      <c r="T103" s="7"/>
      <c r="U103" s="8">
        <v>1</v>
      </c>
    </row>
    <row r="104" spans="1:21">
      <c r="A104" s="4"/>
      <c r="B104" s="6" t="s">
        <v>162</v>
      </c>
      <c r="C104" s="6"/>
      <c r="D104" s="7"/>
      <c r="E104" s="7"/>
      <c r="F104" s="7"/>
      <c r="G104" s="7"/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>
        <v>1</v>
      </c>
    </row>
    <row r="105" spans="1:21">
      <c r="A105" s="4"/>
      <c r="B105" s="6" t="s">
        <v>163</v>
      </c>
      <c r="C105" s="6"/>
      <c r="D105" s="7"/>
      <c r="E105" s="7">
        <v>0.2</v>
      </c>
      <c r="F105" s="7"/>
      <c r="G105" s="7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>
        <v>1.2</v>
      </c>
    </row>
    <row r="106" spans="1:21">
      <c r="A106" s="4"/>
      <c r="B106" s="6" t="s">
        <v>164</v>
      </c>
      <c r="C106" s="6"/>
      <c r="D106" s="7"/>
      <c r="E106" s="7"/>
      <c r="F106" s="7"/>
      <c r="G106" s="7"/>
      <c r="H106" s="7">
        <v>2</v>
      </c>
      <c r="I106" s="7"/>
      <c r="J106" s="7"/>
      <c r="K106" s="7">
        <v>2</v>
      </c>
      <c r="L106" s="7"/>
      <c r="M106" s="7"/>
      <c r="N106" s="7"/>
      <c r="O106" s="7"/>
      <c r="P106" s="7"/>
      <c r="Q106" s="7"/>
      <c r="R106" s="7"/>
      <c r="S106" s="7"/>
      <c r="T106" s="7"/>
      <c r="U106" s="8">
        <v>4</v>
      </c>
    </row>
    <row r="107" spans="1:21">
      <c r="A107" s="4"/>
      <c r="B107" s="6" t="s">
        <v>165</v>
      </c>
      <c r="C107" s="6"/>
      <c r="D107" s="7"/>
      <c r="E107" s="7"/>
      <c r="F107" s="7">
        <v>2</v>
      </c>
      <c r="G107" s="7"/>
      <c r="H107" s="7">
        <v>5</v>
      </c>
      <c r="I107" s="7"/>
      <c r="J107" s="7"/>
      <c r="K107" s="7"/>
      <c r="L107" s="7"/>
      <c r="M107" s="7"/>
      <c r="N107" s="7"/>
      <c r="O107" s="7"/>
      <c r="P107" s="7"/>
      <c r="Q107" s="7"/>
      <c r="R107" s="7">
        <v>1</v>
      </c>
      <c r="S107" s="7"/>
      <c r="T107" s="7"/>
      <c r="U107" s="8">
        <v>8</v>
      </c>
    </row>
    <row r="108" spans="1:21">
      <c r="A108" s="4"/>
      <c r="B108" s="6" t="s">
        <v>166</v>
      </c>
      <c r="C108" s="6"/>
      <c r="D108" s="7"/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>
        <v>1</v>
      </c>
    </row>
    <row r="109" spans="1:21">
      <c r="A109" s="4"/>
      <c r="B109" s="6" t="s">
        <v>167</v>
      </c>
      <c r="C109" s="6"/>
      <c r="D109" s="7"/>
      <c r="E109" s="7"/>
      <c r="F109" s="7"/>
      <c r="G109" s="7"/>
      <c r="H109" s="7">
        <v>1</v>
      </c>
      <c r="I109" s="7"/>
      <c r="J109" s="7"/>
      <c r="K109" s="7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8">
        <v>2</v>
      </c>
    </row>
    <row r="110" spans="1:21">
      <c r="A110" s="4"/>
      <c r="B110" s="5" t="s">
        <v>168</v>
      </c>
      <c r="C110" s="6">
        <v>2</v>
      </c>
      <c r="D110" s="7">
        <v>1.25</v>
      </c>
      <c r="E110" s="7">
        <v>1.25</v>
      </c>
      <c r="F110" s="7">
        <v>1</v>
      </c>
      <c r="G110" s="7">
        <v>1</v>
      </c>
      <c r="H110" s="7">
        <v>2</v>
      </c>
      <c r="I110" s="7">
        <v>1</v>
      </c>
      <c r="J110" s="7"/>
      <c r="K110" s="7">
        <v>1</v>
      </c>
      <c r="L110" s="7"/>
      <c r="M110" s="7"/>
      <c r="N110" s="7">
        <v>0.5</v>
      </c>
      <c r="O110" s="7"/>
      <c r="P110" s="7"/>
      <c r="Q110" s="7"/>
      <c r="R110" s="7"/>
      <c r="S110" s="7">
        <v>9</v>
      </c>
      <c r="T110" s="7"/>
      <c r="U110" s="8">
        <v>20</v>
      </c>
    </row>
    <row r="111" spans="1:21">
      <c r="A111" s="4"/>
      <c r="B111" s="6" t="s">
        <v>169</v>
      </c>
      <c r="C111" s="6">
        <v>1</v>
      </c>
      <c r="D111" s="7"/>
      <c r="E111" s="7"/>
      <c r="F111" s="7"/>
      <c r="G111" s="7">
        <v>1</v>
      </c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>
        <v>2</v>
      </c>
      <c r="T111" s="7">
        <v>1</v>
      </c>
      <c r="U111" s="8">
        <v>6</v>
      </c>
    </row>
    <row r="112" spans="1:21">
      <c r="A112" s="4"/>
      <c r="B112" s="6" t="s">
        <v>170</v>
      </c>
      <c r="C112" s="6"/>
      <c r="D112" s="7"/>
      <c r="E112" s="7"/>
      <c r="F112" s="7"/>
      <c r="G112" s="7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</row>
    <row r="113" spans="1:21">
      <c r="A113" s="4"/>
      <c r="B113" s="6" t="s">
        <v>171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2</v>
      </c>
      <c r="S113" s="7"/>
      <c r="T113" s="7"/>
      <c r="U113" s="8">
        <v>2</v>
      </c>
    </row>
    <row r="114" spans="1:21">
      <c r="A114" s="4"/>
      <c r="B114" s="6" t="s">
        <v>172</v>
      </c>
      <c r="C114" s="6">
        <v>2.125</v>
      </c>
      <c r="D114" s="7"/>
      <c r="E114" s="7">
        <v>0.65</v>
      </c>
      <c r="F114" s="7">
        <v>1</v>
      </c>
      <c r="G114" s="7">
        <v>1</v>
      </c>
      <c r="H114" s="7">
        <v>3</v>
      </c>
      <c r="I114" s="7"/>
      <c r="J114" s="7"/>
      <c r="K114" s="7"/>
      <c r="L114" s="7"/>
      <c r="M114" s="7"/>
      <c r="N114" s="7">
        <v>0.35</v>
      </c>
      <c r="O114" s="7"/>
      <c r="P114" s="7"/>
      <c r="Q114" s="7"/>
      <c r="R114" s="7"/>
      <c r="S114" s="7">
        <v>1</v>
      </c>
      <c r="T114" s="7"/>
      <c r="U114" s="8">
        <v>9.125</v>
      </c>
    </row>
    <row r="115" spans="1:21">
      <c r="A115" s="4"/>
      <c r="B115" s="6" t="s">
        <v>72</v>
      </c>
      <c r="C115" s="6"/>
      <c r="D115" s="7"/>
      <c r="E115" s="7"/>
      <c r="F115" s="7">
        <v>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1</v>
      </c>
      <c r="R115" s="7"/>
      <c r="S115" s="7"/>
      <c r="T115" s="7"/>
      <c r="U115" s="8">
        <v>4</v>
      </c>
    </row>
    <row r="116" spans="1:21">
      <c r="A116" s="4"/>
      <c r="B116" s="6" t="s">
        <v>81</v>
      </c>
      <c r="C116" s="6">
        <v>1</v>
      </c>
      <c r="D116" s="7">
        <v>0.25</v>
      </c>
      <c r="E116" s="7"/>
      <c r="F116" s="7">
        <v>1</v>
      </c>
      <c r="G116" s="7"/>
      <c r="H116" s="7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>
        <v>3.25</v>
      </c>
    </row>
    <row r="117" spans="1:21">
      <c r="A117" s="4"/>
      <c r="B117" s="6" t="s">
        <v>82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>
        <v>2</v>
      </c>
      <c r="Q117" s="7"/>
      <c r="R117" s="7"/>
      <c r="S117" s="7"/>
      <c r="T117" s="7"/>
      <c r="U117" s="8">
        <v>2</v>
      </c>
    </row>
    <row r="118" spans="1:21">
      <c r="A118" s="4"/>
      <c r="B118" s="6" t="s">
        <v>173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>
        <v>1</v>
      </c>
      <c r="Q118" s="7"/>
      <c r="R118" s="7"/>
      <c r="S118" s="7"/>
      <c r="T118" s="7"/>
      <c r="U118" s="8">
        <v>1</v>
      </c>
    </row>
    <row r="119" spans="1:21">
      <c r="A119" s="4"/>
      <c r="B119" s="6" t="s">
        <v>89</v>
      </c>
      <c r="C119" s="6"/>
      <c r="D119" s="7">
        <v>1</v>
      </c>
      <c r="E119" s="7"/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  <c r="P119" s="7">
        <v>1</v>
      </c>
      <c r="Q119" s="7"/>
      <c r="R119" s="7"/>
      <c r="S119" s="7"/>
      <c r="T119" s="7"/>
      <c r="U119" s="8">
        <v>5</v>
      </c>
    </row>
    <row r="120" spans="1:21">
      <c r="A120" s="4"/>
      <c r="B120" s="5" t="s">
        <v>91</v>
      </c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>
        <v>1</v>
      </c>
      <c r="Q120" s="7"/>
      <c r="R120" s="7"/>
      <c r="S120" s="7"/>
      <c r="T120" s="7"/>
      <c r="U120" s="8">
        <v>1</v>
      </c>
    </row>
    <row r="121" spans="1:21">
      <c r="A121" s="4"/>
      <c r="B121" s="6" t="s">
        <v>174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>
        <v>9</v>
      </c>
      <c r="Q121" s="7"/>
      <c r="R121" s="7"/>
      <c r="S121" s="7"/>
      <c r="T121" s="7"/>
      <c r="U121" s="8">
        <v>9</v>
      </c>
    </row>
    <row r="122" spans="1:21">
      <c r="A122" s="4"/>
      <c r="B122" s="6" t="s">
        <v>175</v>
      </c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8">
        <v>1</v>
      </c>
    </row>
    <row r="123" spans="1:21">
      <c r="A123" s="4"/>
      <c r="B123" s="6" t="s">
        <v>94</v>
      </c>
      <c r="C123" s="6"/>
      <c r="D123" s="7">
        <v>1</v>
      </c>
      <c r="E123" s="7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2</v>
      </c>
    </row>
    <row r="124" spans="1:21">
      <c r="A124" s="9" t="s">
        <v>18</v>
      </c>
      <c r="B124" s="10"/>
      <c r="C124" s="9">
        <v>112.675</v>
      </c>
      <c r="D124" s="11">
        <v>10.5</v>
      </c>
      <c r="E124" s="11">
        <v>10.45</v>
      </c>
      <c r="F124" s="11">
        <v>27</v>
      </c>
      <c r="G124" s="11">
        <v>161</v>
      </c>
      <c r="H124" s="11">
        <v>97.35</v>
      </c>
      <c r="I124" s="11">
        <v>2</v>
      </c>
      <c r="J124" s="11">
        <v>8.3000000000000007</v>
      </c>
      <c r="K124" s="11">
        <v>16.5</v>
      </c>
      <c r="L124" s="11">
        <v>14</v>
      </c>
      <c r="M124" s="11">
        <v>2</v>
      </c>
      <c r="N124" s="11">
        <v>7.6</v>
      </c>
      <c r="O124" s="11">
        <v>0.1</v>
      </c>
      <c r="P124" s="11">
        <v>31</v>
      </c>
      <c r="Q124" s="11">
        <v>1</v>
      </c>
      <c r="R124" s="11">
        <v>7</v>
      </c>
      <c r="S124" s="11">
        <v>58</v>
      </c>
      <c r="T124" s="11">
        <v>7.5</v>
      </c>
      <c r="U124" s="12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43</v>
      </c>
      <c r="S1" s="2" t="s">
        <v>17</v>
      </c>
      <c r="T1" s="3" t="s">
        <v>18</v>
      </c>
    </row>
    <row r="2" spans="1:20">
      <c r="A2" s="1" t="s">
        <v>176</v>
      </c>
      <c r="B2" s="1" t="s">
        <v>177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</row>
    <row r="3" spans="1:20">
      <c r="A3" s="4"/>
      <c r="B3" s="6" t="s">
        <v>178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>
        <v>1</v>
      </c>
    </row>
    <row r="4" spans="1:20">
      <c r="A4" s="4"/>
      <c r="B4" s="1" t="s">
        <v>179</v>
      </c>
      <c r="C4" s="1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3">
        <v>1</v>
      </c>
    </row>
    <row r="5" spans="1:20">
      <c r="A5" s="4"/>
      <c r="B5" s="6" t="s">
        <v>180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8">
        <v>2</v>
      </c>
    </row>
    <row r="6" spans="1:20">
      <c r="A6" s="4"/>
      <c r="B6" s="6" t="s">
        <v>181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8">
        <v>1</v>
      </c>
    </row>
    <row r="7" spans="1:20">
      <c r="A7" s="4"/>
      <c r="B7" s="6" t="s">
        <v>182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8">
        <v>1</v>
      </c>
    </row>
    <row r="8" spans="1:20">
      <c r="A8" s="4"/>
      <c r="B8" s="6" t="s">
        <v>183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>
        <v>1</v>
      </c>
    </row>
    <row r="9" spans="1:20">
      <c r="A9" s="4"/>
      <c r="B9" s="5" t="s">
        <v>184</v>
      </c>
      <c r="C9" s="6">
        <v>1</v>
      </c>
      <c r="D9" s="7">
        <v>1</v>
      </c>
      <c r="E9" s="7">
        <v>9.65</v>
      </c>
      <c r="F9" s="7">
        <v>6</v>
      </c>
      <c r="G9" s="7">
        <v>68</v>
      </c>
      <c r="H9" s="7">
        <v>2.5</v>
      </c>
      <c r="I9" s="7">
        <v>3</v>
      </c>
      <c r="J9" s="7"/>
      <c r="K9" s="7"/>
      <c r="L9" s="7"/>
      <c r="M9" s="7"/>
      <c r="N9" s="7">
        <v>3.65</v>
      </c>
      <c r="O9" s="7">
        <v>1</v>
      </c>
      <c r="P9" s="7">
        <v>9</v>
      </c>
      <c r="Q9" s="7"/>
      <c r="R9" s="7"/>
      <c r="S9" s="7">
        <v>8</v>
      </c>
      <c r="T9" s="8">
        <v>112.8</v>
      </c>
    </row>
    <row r="10" spans="1:20">
      <c r="A10" s="4"/>
      <c r="B10" s="6" t="s">
        <v>185</v>
      </c>
      <c r="C10" s="6">
        <v>13.5</v>
      </c>
      <c r="D10" s="7"/>
      <c r="E10" s="7"/>
      <c r="F10" s="7"/>
      <c r="G10" s="7">
        <v>9</v>
      </c>
      <c r="H10" s="7">
        <v>11</v>
      </c>
      <c r="I10" s="7"/>
      <c r="J10" s="7"/>
      <c r="K10" s="7"/>
      <c r="L10" s="7"/>
      <c r="M10" s="7"/>
      <c r="N10" s="7"/>
      <c r="O10" s="7"/>
      <c r="P10" s="7"/>
      <c r="Q10" s="7">
        <v>7</v>
      </c>
      <c r="R10" s="7"/>
      <c r="S10" s="7">
        <v>3</v>
      </c>
      <c r="T10" s="8">
        <v>43.5</v>
      </c>
    </row>
    <row r="11" spans="1:20">
      <c r="A11" s="4"/>
      <c r="B11" s="6" t="s">
        <v>186</v>
      </c>
      <c r="C11" s="6">
        <v>7</v>
      </c>
      <c r="D11" s="7"/>
      <c r="E11" s="7"/>
      <c r="F11" s="7"/>
      <c r="G11" s="7">
        <v>4</v>
      </c>
      <c r="H11" s="7">
        <v>3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8">
        <v>16</v>
      </c>
    </row>
    <row r="12" spans="1:20">
      <c r="A12" s="4"/>
      <c r="B12" s="6" t="s">
        <v>187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</v>
      </c>
      <c r="P12" s="7"/>
      <c r="Q12" s="7"/>
      <c r="R12" s="7"/>
      <c r="S12" s="7"/>
      <c r="T12" s="8">
        <v>1</v>
      </c>
    </row>
    <row r="13" spans="1:20">
      <c r="A13" s="4"/>
      <c r="B13" s="6" t="s">
        <v>188</v>
      </c>
      <c r="C13" s="6"/>
      <c r="D13" s="7"/>
      <c r="E13" s="7"/>
      <c r="F13" s="7"/>
      <c r="G13" s="7"/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>
        <v>1</v>
      </c>
    </row>
    <row r="14" spans="1:20">
      <c r="A14" s="4"/>
      <c r="B14" s="6" t="s">
        <v>189</v>
      </c>
      <c r="C14" s="6"/>
      <c r="D14" s="7"/>
      <c r="E14" s="7"/>
      <c r="F14" s="7"/>
      <c r="G14" s="7">
        <v>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12</v>
      </c>
    </row>
    <row r="15" spans="1:20">
      <c r="A15" s="4"/>
      <c r="B15" s="6" t="s">
        <v>190</v>
      </c>
      <c r="C15" s="6">
        <v>15</v>
      </c>
      <c r="D15" s="7"/>
      <c r="E15" s="7"/>
      <c r="F15" s="7">
        <v>11</v>
      </c>
      <c r="G15" s="7"/>
      <c r="H15" s="7">
        <v>27.5</v>
      </c>
      <c r="I15" s="7">
        <v>3</v>
      </c>
      <c r="J15" s="7">
        <v>5</v>
      </c>
      <c r="K15" s="7"/>
      <c r="L15" s="7"/>
      <c r="M15" s="7">
        <v>3</v>
      </c>
      <c r="N15" s="7"/>
      <c r="O15" s="7"/>
      <c r="P15" s="7">
        <v>1</v>
      </c>
      <c r="Q15" s="7"/>
      <c r="R15" s="7"/>
      <c r="S15" s="7">
        <v>9</v>
      </c>
      <c r="T15" s="8">
        <v>74.5</v>
      </c>
    </row>
    <row r="16" spans="1:20">
      <c r="A16" s="4"/>
      <c r="B16" s="6" t="s">
        <v>191</v>
      </c>
      <c r="C16" s="6"/>
      <c r="D16" s="7"/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1</v>
      </c>
    </row>
    <row r="17" spans="1:20">
      <c r="A17" s="4"/>
      <c r="B17" s="6" t="s">
        <v>192</v>
      </c>
      <c r="C17" s="6">
        <v>1</v>
      </c>
      <c r="D17" s="7"/>
      <c r="E17" s="7"/>
      <c r="F17" s="7"/>
      <c r="G17" s="7"/>
      <c r="H17" s="7">
        <v>6.2</v>
      </c>
      <c r="I17" s="7"/>
      <c r="J17" s="7">
        <v>1</v>
      </c>
      <c r="K17" s="7"/>
      <c r="L17" s="7"/>
      <c r="M17" s="7"/>
      <c r="N17" s="7"/>
      <c r="O17" s="7"/>
      <c r="P17" s="7">
        <v>3</v>
      </c>
      <c r="Q17" s="7"/>
      <c r="R17" s="7"/>
      <c r="S17" s="7"/>
      <c r="T17" s="8">
        <v>11.2</v>
      </c>
    </row>
    <row r="18" spans="1:20">
      <c r="A18" s="4"/>
      <c r="B18" s="6" t="s">
        <v>193</v>
      </c>
      <c r="C18" s="6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3</v>
      </c>
    </row>
    <row r="19" spans="1:20">
      <c r="A19" s="4"/>
      <c r="B19" s="6" t="s">
        <v>194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8">
        <v>2</v>
      </c>
    </row>
    <row r="20" spans="1:20">
      <c r="A20" s="4"/>
      <c r="B20" s="6" t="s">
        <v>195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8">
        <v>2</v>
      </c>
    </row>
    <row r="21" spans="1:20">
      <c r="A21" s="4"/>
      <c r="B21" s="6" t="s">
        <v>196</v>
      </c>
      <c r="C21" s="6"/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</v>
      </c>
    </row>
    <row r="22" spans="1:20">
      <c r="A22" s="4"/>
      <c r="B22" s="6" t="s">
        <v>197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>
        <v>1</v>
      </c>
    </row>
    <row r="23" spans="1:20">
      <c r="A23" s="4"/>
      <c r="B23" s="6" t="s">
        <v>198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2</v>
      </c>
      <c r="R23" s="7"/>
      <c r="S23" s="7"/>
      <c r="T23" s="8">
        <v>2</v>
      </c>
    </row>
    <row r="24" spans="1:20">
      <c r="A24" s="4"/>
      <c r="B24" s="6" t="s">
        <v>199</v>
      </c>
      <c r="C24" s="6"/>
      <c r="D24" s="7"/>
      <c r="E24" s="7"/>
      <c r="F24" s="7"/>
      <c r="G24" s="7"/>
      <c r="H24" s="7"/>
      <c r="I24" s="7"/>
      <c r="J24" s="7">
        <v>2</v>
      </c>
      <c r="K24" s="7"/>
      <c r="L24" s="7"/>
      <c r="M24" s="7">
        <v>1</v>
      </c>
      <c r="N24" s="7"/>
      <c r="O24" s="7"/>
      <c r="P24" s="7"/>
      <c r="Q24" s="7"/>
      <c r="R24" s="7"/>
      <c r="S24" s="7"/>
      <c r="T24" s="8">
        <v>3</v>
      </c>
    </row>
    <row r="25" spans="1:20">
      <c r="A25" s="4"/>
      <c r="B25" s="6" t="s">
        <v>200</v>
      </c>
      <c r="C25" s="6"/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8">
        <v>1</v>
      </c>
    </row>
    <row r="26" spans="1:20">
      <c r="A26" s="4"/>
      <c r="B26" s="5" t="s">
        <v>201</v>
      </c>
      <c r="C26" s="6">
        <v>3.5</v>
      </c>
      <c r="D26" s="7"/>
      <c r="E26" s="7"/>
      <c r="F26" s="7"/>
      <c r="G26" s="7"/>
      <c r="H26" s="7">
        <v>6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>
        <v>1</v>
      </c>
      <c r="R26" s="7"/>
      <c r="S26" s="7"/>
      <c r="T26" s="8">
        <v>14.5</v>
      </c>
    </row>
    <row r="27" spans="1:20">
      <c r="A27" s="4"/>
      <c r="B27" s="6" t="s">
        <v>202</v>
      </c>
      <c r="C27" s="6">
        <v>6</v>
      </c>
      <c r="D27" s="7"/>
      <c r="E27" s="7"/>
      <c r="F27" s="7"/>
      <c r="G27" s="7"/>
      <c r="H27" s="7">
        <v>2</v>
      </c>
      <c r="I27" s="7"/>
      <c r="J27" s="7">
        <v>2</v>
      </c>
      <c r="K27" s="7"/>
      <c r="L27" s="7"/>
      <c r="M27" s="7"/>
      <c r="N27" s="7"/>
      <c r="O27" s="7"/>
      <c r="P27" s="7"/>
      <c r="Q27" s="7">
        <v>3</v>
      </c>
      <c r="R27" s="7"/>
      <c r="S27" s="7"/>
      <c r="T27" s="8">
        <v>13</v>
      </c>
    </row>
    <row r="28" spans="1:20">
      <c r="A28" s="4"/>
      <c r="B28" s="6" t="s">
        <v>203</v>
      </c>
      <c r="C28" s="6"/>
      <c r="D28" s="7"/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>
        <v>1</v>
      </c>
    </row>
    <row r="29" spans="1:20">
      <c r="A29" s="4"/>
      <c r="B29" s="6" t="s">
        <v>204</v>
      </c>
      <c r="C29" s="6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1</v>
      </c>
    </row>
    <row r="30" spans="1:20">
      <c r="A30" s="4"/>
      <c r="B30" s="6" t="s">
        <v>205</v>
      </c>
      <c r="C30" s="6"/>
      <c r="D30" s="7"/>
      <c r="E30" s="7"/>
      <c r="F30" s="7"/>
      <c r="G30" s="7"/>
      <c r="H30" s="7">
        <v>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>
        <v>2</v>
      </c>
    </row>
    <row r="31" spans="1:20">
      <c r="A31" s="4"/>
      <c r="B31" s="6" t="s">
        <v>206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8">
        <v>1</v>
      </c>
    </row>
    <row r="32" spans="1:20">
      <c r="A32" s="4"/>
      <c r="B32" s="6" t="s">
        <v>207</v>
      </c>
      <c r="C32" s="6"/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v>1</v>
      </c>
    </row>
    <row r="33" spans="1:20">
      <c r="A33" s="4"/>
      <c r="B33" s="6" t="s">
        <v>208</v>
      </c>
      <c r="C33" s="6">
        <v>0.5</v>
      </c>
      <c r="D33" s="7">
        <v>1</v>
      </c>
      <c r="E33" s="7">
        <v>0.1</v>
      </c>
      <c r="F33" s="7">
        <v>2</v>
      </c>
      <c r="G33" s="7"/>
      <c r="H33" s="7"/>
      <c r="I33" s="7"/>
      <c r="J33" s="7"/>
      <c r="K33" s="7">
        <v>2</v>
      </c>
      <c r="L33" s="7"/>
      <c r="M33" s="7"/>
      <c r="N33" s="7"/>
      <c r="O33" s="7"/>
      <c r="P33" s="7"/>
      <c r="Q33" s="7">
        <v>1</v>
      </c>
      <c r="R33" s="7"/>
      <c r="S33" s="7">
        <v>1</v>
      </c>
      <c r="T33" s="8">
        <v>7.6</v>
      </c>
    </row>
    <row r="34" spans="1:20">
      <c r="A34" s="4"/>
      <c r="B34" s="6" t="s">
        <v>209</v>
      </c>
      <c r="C34" s="6"/>
      <c r="D34" s="7"/>
      <c r="E34" s="7"/>
      <c r="F34" s="7"/>
      <c r="G34" s="7"/>
      <c r="H34" s="7">
        <v>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v>2</v>
      </c>
    </row>
    <row r="35" spans="1:20">
      <c r="A35" s="4"/>
      <c r="B35" s="6" t="s">
        <v>210</v>
      </c>
      <c r="C35" s="6"/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>
        <v>2</v>
      </c>
    </row>
    <row r="36" spans="1:20">
      <c r="A36" s="4"/>
      <c r="B36" s="6" t="s">
        <v>211</v>
      </c>
      <c r="C36" s="6"/>
      <c r="D36" s="7"/>
      <c r="E36" s="7"/>
      <c r="F36" s="7"/>
      <c r="G36" s="7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0.5</v>
      </c>
      <c r="T36" s="8">
        <v>1.5</v>
      </c>
    </row>
    <row r="37" spans="1:20">
      <c r="A37" s="4"/>
      <c r="B37" s="6" t="s">
        <v>212</v>
      </c>
      <c r="C37" s="6"/>
      <c r="D37" s="7"/>
      <c r="E37" s="7">
        <v>0.2</v>
      </c>
      <c r="F37" s="7"/>
      <c r="G37" s="7"/>
      <c r="H37" s="7">
        <v>0.5</v>
      </c>
      <c r="I37" s="7"/>
      <c r="J37" s="7"/>
      <c r="K37" s="7"/>
      <c r="L37" s="7"/>
      <c r="M37" s="7"/>
      <c r="N37" s="7">
        <v>0.2</v>
      </c>
      <c r="O37" s="7"/>
      <c r="P37" s="7"/>
      <c r="Q37" s="7"/>
      <c r="R37" s="7"/>
      <c r="S37" s="7">
        <v>0.2</v>
      </c>
      <c r="T37" s="8">
        <v>1.1000000000000001</v>
      </c>
    </row>
    <row r="38" spans="1:20">
      <c r="A38" s="4"/>
      <c r="B38" s="6" t="s">
        <v>213</v>
      </c>
      <c r="C38" s="6">
        <v>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</v>
      </c>
    </row>
    <row r="39" spans="1:20">
      <c r="A39" s="4"/>
      <c r="B39" s="6" t="s">
        <v>214</v>
      </c>
      <c r="C39" s="6">
        <v>1</v>
      </c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>
        <v>2</v>
      </c>
    </row>
    <row r="40" spans="1:20">
      <c r="A40" s="4"/>
      <c r="B40" s="6" t="s">
        <v>215</v>
      </c>
      <c r="C40" s="6">
        <v>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>
        <v>1</v>
      </c>
      <c r="Q40" s="7"/>
      <c r="R40" s="7"/>
      <c r="S40" s="7"/>
      <c r="T40" s="8">
        <v>2</v>
      </c>
    </row>
    <row r="41" spans="1:20">
      <c r="A41" s="4"/>
      <c r="B41" s="6" t="s">
        <v>216</v>
      </c>
      <c r="C41" s="6"/>
      <c r="D41" s="7"/>
      <c r="E41" s="7"/>
      <c r="F41" s="7">
        <v>0.25</v>
      </c>
      <c r="G41" s="7"/>
      <c r="H41" s="7">
        <v>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>
        <v>3.25</v>
      </c>
    </row>
    <row r="42" spans="1:20">
      <c r="A42" s="4"/>
      <c r="B42" s="6" t="s">
        <v>177</v>
      </c>
      <c r="C42" s="6"/>
      <c r="D42" s="7"/>
      <c r="E42" s="7"/>
      <c r="F42" s="7"/>
      <c r="G42" s="7"/>
      <c r="H42" s="7"/>
      <c r="I42" s="7"/>
      <c r="J42" s="7"/>
      <c r="K42" s="7">
        <v>1</v>
      </c>
      <c r="L42" s="7"/>
      <c r="M42" s="7"/>
      <c r="N42" s="7"/>
      <c r="O42" s="7"/>
      <c r="P42" s="7"/>
      <c r="Q42" s="7"/>
      <c r="R42" s="7"/>
      <c r="S42" s="7">
        <v>0.25</v>
      </c>
      <c r="T42" s="8">
        <v>1.25</v>
      </c>
    </row>
    <row r="43" spans="1:20">
      <c r="A43" s="4"/>
      <c r="B43" s="6" t="s">
        <v>217</v>
      </c>
      <c r="C43" s="6"/>
      <c r="D43" s="7">
        <v>0.5</v>
      </c>
      <c r="E43" s="7"/>
      <c r="F43" s="7">
        <v>1</v>
      </c>
      <c r="G43" s="7"/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  <c r="Q43" s="7">
        <v>0.25</v>
      </c>
      <c r="R43" s="7"/>
      <c r="S43" s="7">
        <v>1</v>
      </c>
      <c r="T43" s="8">
        <v>4.75</v>
      </c>
    </row>
    <row r="44" spans="1:20">
      <c r="A44" s="4"/>
      <c r="B44" s="6" t="s">
        <v>218</v>
      </c>
      <c r="C44" s="6">
        <v>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>
        <v>2</v>
      </c>
    </row>
    <row r="45" spans="1:20">
      <c r="A45" s="4"/>
      <c r="B45" s="6" t="s">
        <v>219</v>
      </c>
      <c r="C45" s="6"/>
      <c r="D45" s="7">
        <v>1</v>
      </c>
      <c r="E45" s="7"/>
      <c r="F45" s="7"/>
      <c r="G45" s="7">
        <v>2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>
        <v>0.2</v>
      </c>
      <c r="R45" s="7"/>
      <c r="S45" s="7"/>
      <c r="T45" s="8">
        <v>6.2</v>
      </c>
    </row>
    <row r="46" spans="1:20">
      <c r="A46" s="4"/>
      <c r="B46" s="6" t="s">
        <v>220</v>
      </c>
      <c r="C46" s="6"/>
      <c r="D46" s="7"/>
      <c r="E46" s="7"/>
      <c r="F46" s="7"/>
      <c r="G46" s="7"/>
      <c r="H46" s="7"/>
      <c r="I46" s="7"/>
      <c r="J46" s="7"/>
      <c r="K46" s="7">
        <v>1</v>
      </c>
      <c r="L46" s="7"/>
      <c r="M46" s="7"/>
      <c r="N46" s="7"/>
      <c r="O46" s="7"/>
      <c r="P46" s="7"/>
      <c r="Q46" s="7"/>
      <c r="R46" s="7"/>
      <c r="S46" s="7"/>
      <c r="T46" s="8">
        <v>1</v>
      </c>
    </row>
    <row r="47" spans="1:20">
      <c r="A47" s="4"/>
      <c r="B47" s="6" t="s">
        <v>221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>
        <v>2</v>
      </c>
    </row>
    <row r="48" spans="1:20">
      <c r="A48" s="4"/>
      <c r="B48" s="6" t="s">
        <v>222</v>
      </c>
      <c r="C48" s="6">
        <v>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</v>
      </c>
    </row>
    <row r="49" spans="1:20">
      <c r="A49" s="4"/>
      <c r="B49" s="6" t="s">
        <v>223</v>
      </c>
      <c r="C49" s="6"/>
      <c r="D49" s="7"/>
      <c r="E49" s="7"/>
      <c r="F49" s="7"/>
      <c r="G49" s="7"/>
      <c r="H49" s="7"/>
      <c r="I49" s="7"/>
      <c r="J49" s="7"/>
      <c r="K49" s="7">
        <v>1</v>
      </c>
      <c r="L49" s="7"/>
      <c r="M49" s="7"/>
      <c r="N49" s="7"/>
      <c r="O49" s="7"/>
      <c r="P49" s="7"/>
      <c r="Q49" s="7"/>
      <c r="R49" s="7"/>
      <c r="S49" s="7">
        <v>0.5</v>
      </c>
      <c r="T49" s="8">
        <v>1.5</v>
      </c>
    </row>
    <row r="50" spans="1:20">
      <c r="A50" s="4"/>
      <c r="B50" s="6" t="s">
        <v>224</v>
      </c>
      <c r="C50" s="6">
        <v>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0.5</v>
      </c>
      <c r="O50" s="7"/>
      <c r="P50" s="7"/>
      <c r="Q50" s="7"/>
      <c r="R50" s="7"/>
      <c r="S50" s="7"/>
      <c r="T50" s="8">
        <v>1.5</v>
      </c>
    </row>
    <row r="51" spans="1:20">
      <c r="A51" s="4"/>
      <c r="B51" s="6" t="s">
        <v>225</v>
      </c>
      <c r="C51" s="6">
        <v>2</v>
      </c>
      <c r="D51" s="7"/>
      <c r="E51" s="7"/>
      <c r="F51" s="7"/>
      <c r="G51" s="7"/>
      <c r="H51" s="7"/>
      <c r="I51" s="7"/>
      <c r="J51" s="7"/>
      <c r="K51" s="7">
        <v>0.25</v>
      </c>
      <c r="L51" s="7"/>
      <c r="M51" s="7"/>
      <c r="N51" s="7"/>
      <c r="O51" s="7"/>
      <c r="P51" s="7"/>
      <c r="Q51" s="7"/>
      <c r="R51" s="7"/>
      <c r="S51" s="7"/>
      <c r="T51" s="8">
        <v>2.25</v>
      </c>
    </row>
    <row r="52" spans="1:20">
      <c r="A52" s="4"/>
      <c r="B52" s="6" t="s">
        <v>226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1</v>
      </c>
    </row>
    <row r="53" spans="1:20">
      <c r="A53" s="4"/>
      <c r="B53" s="6" t="s">
        <v>227</v>
      </c>
      <c r="C53" s="6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>
        <v>1</v>
      </c>
    </row>
    <row r="54" spans="1:20">
      <c r="A54" s="4"/>
      <c r="B54" s="6" t="s">
        <v>228</v>
      </c>
      <c r="C54" s="6"/>
      <c r="D54" s="7"/>
      <c r="E54" s="7"/>
      <c r="F54" s="7"/>
      <c r="G54" s="7"/>
      <c r="H54" s="7">
        <v>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>
        <v>2</v>
      </c>
    </row>
    <row r="55" spans="1:20">
      <c r="A55" s="4"/>
      <c r="B55" s="6" t="s">
        <v>229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</v>
      </c>
      <c r="R55" s="7"/>
      <c r="S55" s="7"/>
      <c r="T55" s="8">
        <v>2</v>
      </c>
    </row>
    <row r="56" spans="1:20">
      <c r="A56" s="4"/>
      <c r="B56" s="6" t="s">
        <v>230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1</v>
      </c>
      <c r="T56" s="8">
        <v>1</v>
      </c>
    </row>
    <row r="57" spans="1:20">
      <c r="A57" s="4"/>
      <c r="B57" s="6" t="s">
        <v>231</v>
      </c>
      <c r="C57" s="6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>
        <v>1</v>
      </c>
    </row>
    <row r="58" spans="1:20">
      <c r="A58" s="4"/>
      <c r="B58" s="6" t="s">
        <v>232</v>
      </c>
      <c r="C58" s="6"/>
      <c r="D58" s="7"/>
      <c r="E58" s="7"/>
      <c r="F58" s="7"/>
      <c r="G58" s="7"/>
      <c r="H58" s="7"/>
      <c r="I58" s="7"/>
      <c r="J58" s="7"/>
      <c r="K58" s="7">
        <v>1</v>
      </c>
      <c r="L58" s="7"/>
      <c r="M58" s="7"/>
      <c r="N58" s="7"/>
      <c r="O58" s="7"/>
      <c r="P58" s="7"/>
      <c r="Q58" s="7"/>
      <c r="R58" s="7"/>
      <c r="S58" s="7"/>
      <c r="T58" s="8">
        <v>1</v>
      </c>
    </row>
    <row r="59" spans="1:20">
      <c r="A59" s="4"/>
      <c r="B59" s="6" t="s">
        <v>233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1</v>
      </c>
      <c r="T59" s="8">
        <v>1</v>
      </c>
    </row>
    <row r="60" spans="1:20">
      <c r="A60" s="4"/>
      <c r="B60" s="6" t="s">
        <v>234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8">
        <v>1</v>
      </c>
    </row>
    <row r="61" spans="1:20">
      <c r="A61" s="4"/>
      <c r="B61" s="6" t="s">
        <v>235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/>
      <c r="O61" s="7"/>
      <c r="P61" s="7"/>
      <c r="Q61" s="7"/>
      <c r="R61" s="7"/>
      <c r="S61" s="7"/>
      <c r="T61" s="8">
        <v>2</v>
      </c>
    </row>
    <row r="62" spans="1:20">
      <c r="A62" s="4"/>
      <c r="B62" s="6" t="s">
        <v>236</v>
      </c>
      <c r="C62" s="6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</v>
      </c>
      <c r="T62" s="8">
        <v>8</v>
      </c>
    </row>
    <row r="63" spans="1:20">
      <c r="A63" s="4"/>
      <c r="B63" s="6" t="s">
        <v>237</v>
      </c>
      <c r="C63" s="6"/>
      <c r="D63" s="7"/>
      <c r="E63" s="7"/>
      <c r="F63" s="7"/>
      <c r="G63" s="7"/>
      <c r="H63" s="7"/>
      <c r="I63" s="7"/>
      <c r="J63" s="7"/>
      <c r="K63" s="7">
        <v>2</v>
      </c>
      <c r="L63" s="7"/>
      <c r="M63" s="7"/>
      <c r="N63" s="7"/>
      <c r="O63" s="7"/>
      <c r="P63" s="7"/>
      <c r="Q63" s="7"/>
      <c r="R63" s="7"/>
      <c r="S63" s="7"/>
      <c r="T63" s="8">
        <v>2</v>
      </c>
    </row>
    <row r="64" spans="1:20">
      <c r="A64" s="4"/>
      <c r="B64" s="6" t="s">
        <v>238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2</v>
      </c>
      <c r="O64" s="7"/>
      <c r="P64" s="7"/>
      <c r="Q64" s="7"/>
      <c r="R64" s="7"/>
      <c r="S64" s="7"/>
      <c r="T64" s="8">
        <v>2</v>
      </c>
    </row>
    <row r="65" spans="1:20">
      <c r="A65" s="4"/>
      <c r="B65" s="6" t="s">
        <v>239</v>
      </c>
      <c r="C65" s="6"/>
      <c r="D65" s="7">
        <v>3</v>
      </c>
      <c r="E65" s="7">
        <v>1.4</v>
      </c>
      <c r="F65" s="7">
        <v>4</v>
      </c>
      <c r="G65" s="7">
        <v>1</v>
      </c>
      <c r="H65" s="7"/>
      <c r="I65" s="7"/>
      <c r="J65" s="7"/>
      <c r="K65" s="7"/>
      <c r="L65" s="7"/>
      <c r="M65" s="7"/>
      <c r="N65" s="7">
        <v>0.8</v>
      </c>
      <c r="O65" s="7"/>
      <c r="P65" s="7">
        <v>2</v>
      </c>
      <c r="Q65" s="7"/>
      <c r="R65" s="7"/>
      <c r="S65" s="7"/>
      <c r="T65" s="8">
        <v>12.2</v>
      </c>
    </row>
    <row r="66" spans="1:20">
      <c r="A66" s="4"/>
      <c r="B66" s="6" t="s">
        <v>240</v>
      </c>
      <c r="C66" s="6"/>
      <c r="D66" s="7">
        <v>3</v>
      </c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/>
      <c r="Q66" s="7"/>
      <c r="R66" s="7"/>
      <c r="S66" s="7"/>
      <c r="T66" s="8">
        <v>4</v>
      </c>
    </row>
    <row r="67" spans="1:20">
      <c r="A67" s="4"/>
      <c r="B67" s="6" t="s">
        <v>241</v>
      </c>
      <c r="C67" s="6"/>
      <c r="D67" s="7"/>
      <c r="E67" s="7">
        <v>1.75</v>
      </c>
      <c r="F67" s="7"/>
      <c r="G67" s="7"/>
      <c r="H67" s="7"/>
      <c r="I67" s="7"/>
      <c r="J67" s="7"/>
      <c r="K67" s="7"/>
      <c r="L67" s="7"/>
      <c r="M67" s="7"/>
      <c r="N67" s="7">
        <v>2</v>
      </c>
      <c r="O67" s="7"/>
      <c r="P67" s="7"/>
      <c r="Q67" s="7">
        <v>8</v>
      </c>
      <c r="R67" s="7"/>
      <c r="S67" s="7"/>
      <c r="T67" s="8">
        <v>11.75</v>
      </c>
    </row>
    <row r="68" spans="1:20">
      <c r="A68" s="4"/>
      <c r="B68" s="6" t="s">
        <v>242</v>
      </c>
      <c r="C68" s="6"/>
      <c r="D68" s="7"/>
      <c r="E68" s="7"/>
      <c r="F68" s="7"/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8">
        <v>2</v>
      </c>
    </row>
    <row r="69" spans="1:20">
      <c r="A69" s="4"/>
      <c r="B69" s="6" t="s">
        <v>243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11</v>
      </c>
      <c r="R69" s="7"/>
      <c r="S69" s="7"/>
      <c r="T69" s="8">
        <v>11</v>
      </c>
    </row>
    <row r="70" spans="1:20">
      <c r="A70" s="4"/>
      <c r="B70" s="6" t="s">
        <v>244</v>
      </c>
      <c r="C70" s="6">
        <v>2</v>
      </c>
      <c r="D70" s="7">
        <v>2</v>
      </c>
      <c r="E70" s="7"/>
      <c r="F70" s="7">
        <v>2</v>
      </c>
      <c r="G70" s="7">
        <v>1</v>
      </c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4</v>
      </c>
      <c r="T70" s="8">
        <v>12</v>
      </c>
    </row>
    <row r="71" spans="1:20">
      <c r="A71" s="4"/>
      <c r="B71" s="6" t="s">
        <v>245</v>
      </c>
      <c r="C71" s="6"/>
      <c r="D71" s="7">
        <v>5</v>
      </c>
      <c r="E71" s="7"/>
      <c r="F71" s="7"/>
      <c r="G71" s="7"/>
      <c r="H71" s="7">
        <v>2</v>
      </c>
      <c r="I71" s="7"/>
      <c r="J71" s="7"/>
      <c r="K71" s="7">
        <v>5</v>
      </c>
      <c r="L71" s="7"/>
      <c r="M71" s="7"/>
      <c r="N71" s="7"/>
      <c r="O71" s="7"/>
      <c r="P71" s="7"/>
      <c r="Q71" s="7"/>
      <c r="R71" s="7"/>
      <c r="S71" s="7">
        <v>4</v>
      </c>
      <c r="T71" s="8">
        <v>16</v>
      </c>
    </row>
    <row r="72" spans="1:20">
      <c r="A72" s="4"/>
      <c r="B72" s="6" t="s">
        <v>246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/>
      <c r="R72" s="7"/>
      <c r="S72" s="7"/>
      <c r="T72" s="8">
        <v>7</v>
      </c>
    </row>
    <row r="73" spans="1:20">
      <c r="A73" s="4"/>
      <c r="B73" s="6" t="s">
        <v>247</v>
      </c>
      <c r="C73" s="6"/>
      <c r="D73" s="7"/>
      <c r="E73" s="7"/>
      <c r="F73" s="7"/>
      <c r="G73" s="7"/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  <c r="S73" s="7"/>
      <c r="T73" s="8">
        <v>2</v>
      </c>
    </row>
    <row r="74" spans="1:20">
      <c r="A74" s="4"/>
      <c r="B74" s="6" t="s">
        <v>248</v>
      </c>
      <c r="C74" s="6"/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>
        <v>1</v>
      </c>
    </row>
    <row r="75" spans="1:20">
      <c r="A75" s="4"/>
      <c r="B75" s="6" t="s">
        <v>249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>
        <v>0.5</v>
      </c>
      <c r="M75" s="7"/>
      <c r="N75" s="7"/>
      <c r="O75" s="7"/>
      <c r="P75" s="7"/>
      <c r="Q75" s="7"/>
      <c r="R75" s="7"/>
      <c r="S75" s="7"/>
      <c r="T75" s="8">
        <v>1.5</v>
      </c>
    </row>
    <row r="76" spans="1:20">
      <c r="A76" s="4"/>
      <c r="B76" s="6" t="s">
        <v>250</v>
      </c>
      <c r="C76" s="6"/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>
        <v>2</v>
      </c>
    </row>
    <row r="77" spans="1:20">
      <c r="A77" s="4"/>
      <c r="B77" s="6" t="s">
        <v>251</v>
      </c>
      <c r="C77" s="6"/>
      <c r="D77" s="7"/>
      <c r="E77" s="7"/>
      <c r="F77" s="7"/>
      <c r="G77" s="7"/>
      <c r="H77" s="7">
        <v>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>
        <v>2</v>
      </c>
    </row>
    <row r="78" spans="1:20">
      <c r="A78" s="4"/>
      <c r="B78" s="6" t="s">
        <v>252</v>
      </c>
      <c r="C78" s="6"/>
      <c r="D78" s="7">
        <v>1</v>
      </c>
      <c r="E78" s="7"/>
      <c r="F78" s="7">
        <v>1</v>
      </c>
      <c r="G78" s="7">
        <v>4</v>
      </c>
      <c r="H78" s="7">
        <v>2</v>
      </c>
      <c r="I78" s="7"/>
      <c r="J78" s="7"/>
      <c r="K78" s="7"/>
      <c r="L78" s="7"/>
      <c r="M78" s="7"/>
      <c r="N78" s="7"/>
      <c r="O78" s="7"/>
      <c r="P78" s="7">
        <v>1</v>
      </c>
      <c r="Q78" s="7"/>
      <c r="R78" s="7"/>
      <c r="S78" s="7"/>
      <c r="T78" s="8">
        <v>9</v>
      </c>
    </row>
    <row r="79" spans="1:20">
      <c r="A79" s="4"/>
      <c r="B79" s="6" t="s">
        <v>253</v>
      </c>
      <c r="C79" s="6"/>
      <c r="D79" s="7"/>
      <c r="E79" s="7"/>
      <c r="F79" s="7"/>
      <c r="G79" s="7"/>
      <c r="H79" s="7">
        <v>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2</v>
      </c>
    </row>
    <row r="80" spans="1:20">
      <c r="A80" s="4"/>
      <c r="B80" s="6" t="s">
        <v>254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>
        <v>1</v>
      </c>
    </row>
    <row r="81" spans="1:20">
      <c r="A81" s="4"/>
      <c r="B81" s="6" t="s">
        <v>255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v>4</v>
      </c>
      <c r="P81" s="7"/>
      <c r="Q81" s="7"/>
      <c r="R81" s="7"/>
      <c r="S81" s="7"/>
      <c r="T81" s="8">
        <v>4</v>
      </c>
    </row>
    <row r="82" spans="1:20">
      <c r="A82" s="4"/>
      <c r="B82" s="6" t="s">
        <v>256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5</v>
      </c>
      <c r="P82" s="7"/>
      <c r="Q82" s="7"/>
      <c r="R82" s="7"/>
      <c r="S82" s="7"/>
      <c r="T82" s="8">
        <v>5</v>
      </c>
    </row>
    <row r="83" spans="1:20">
      <c r="A83" s="4"/>
      <c r="B83" s="6" t="s">
        <v>257</v>
      </c>
      <c r="C83" s="6">
        <v>6</v>
      </c>
      <c r="D83" s="7"/>
      <c r="E83" s="7">
        <v>1.25</v>
      </c>
      <c r="F83" s="7">
        <v>0.1</v>
      </c>
      <c r="G83" s="7"/>
      <c r="H83" s="7">
        <v>4</v>
      </c>
      <c r="I83" s="7"/>
      <c r="J83" s="7"/>
      <c r="K83" s="7"/>
      <c r="L83" s="7"/>
      <c r="M83" s="7">
        <v>1</v>
      </c>
      <c r="N83" s="7">
        <v>0.4</v>
      </c>
      <c r="O83" s="7"/>
      <c r="P83" s="7"/>
      <c r="Q83" s="7"/>
      <c r="R83" s="7"/>
      <c r="S83" s="7"/>
      <c r="T83" s="8">
        <v>12.75</v>
      </c>
    </row>
    <row r="84" spans="1:20">
      <c r="A84" s="4"/>
      <c r="B84" s="6" t="s">
        <v>258</v>
      </c>
      <c r="C84" s="6">
        <v>0.5</v>
      </c>
      <c r="D84" s="7"/>
      <c r="E84" s="7"/>
      <c r="F84" s="7"/>
      <c r="G84" s="7">
        <v>2</v>
      </c>
      <c r="H84" s="7"/>
      <c r="I84" s="7"/>
      <c r="J84" s="7"/>
      <c r="K84" s="7"/>
      <c r="L84" s="7"/>
      <c r="M84" s="7"/>
      <c r="N84" s="7"/>
      <c r="O84" s="7"/>
      <c r="P84" s="7">
        <v>0.5</v>
      </c>
      <c r="Q84" s="7">
        <v>7</v>
      </c>
      <c r="R84" s="7"/>
      <c r="S84" s="7"/>
      <c r="T84" s="8">
        <v>10</v>
      </c>
    </row>
    <row r="85" spans="1:20">
      <c r="A85" s="4"/>
      <c r="B85" s="6" t="s">
        <v>259</v>
      </c>
      <c r="C85" s="6">
        <v>2.75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>
        <v>0.5</v>
      </c>
      <c r="Q85" s="7">
        <v>2.75</v>
      </c>
      <c r="R85" s="7">
        <v>0.5</v>
      </c>
      <c r="S85" s="7"/>
      <c r="T85" s="8">
        <v>6.5</v>
      </c>
    </row>
    <row r="86" spans="1:20">
      <c r="A86" s="4"/>
      <c r="B86" s="6" t="s">
        <v>260</v>
      </c>
      <c r="C86" s="6"/>
      <c r="D86" s="7"/>
      <c r="E86" s="7"/>
      <c r="F86" s="7"/>
      <c r="G86" s="7"/>
      <c r="H86" s="7">
        <v>1</v>
      </c>
      <c r="I86" s="7"/>
      <c r="J86" s="7"/>
      <c r="K86" s="7"/>
      <c r="L86" s="7"/>
      <c r="M86" s="7">
        <v>2</v>
      </c>
      <c r="N86" s="7"/>
      <c r="O86" s="7"/>
      <c r="P86" s="7"/>
      <c r="Q86" s="7"/>
      <c r="R86" s="7"/>
      <c r="S86" s="7"/>
      <c r="T86" s="8">
        <v>3</v>
      </c>
    </row>
    <row r="87" spans="1:20">
      <c r="A87" s="4"/>
      <c r="B87" s="6" t="s">
        <v>261</v>
      </c>
      <c r="C87" s="6">
        <v>0.5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>
        <v>0.5</v>
      </c>
    </row>
    <row r="88" spans="1:20">
      <c r="A88" s="4"/>
      <c r="B88" s="6" t="s">
        <v>262</v>
      </c>
      <c r="C88" s="6"/>
      <c r="D88" s="7"/>
      <c r="E88" s="7"/>
      <c r="F88" s="7"/>
      <c r="G88" s="7"/>
      <c r="H88" s="7">
        <v>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4</v>
      </c>
      <c r="T88" s="8">
        <v>9</v>
      </c>
    </row>
    <row r="89" spans="1:20">
      <c r="A89" s="4"/>
      <c r="B89" s="6" t="s">
        <v>263</v>
      </c>
      <c r="C89" s="6">
        <v>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>
        <v>5</v>
      </c>
    </row>
    <row r="90" spans="1:20">
      <c r="A90" s="4"/>
      <c r="B90" s="6" t="s">
        <v>264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</v>
      </c>
      <c r="T90" s="8">
        <v>3</v>
      </c>
    </row>
    <row r="91" spans="1:20">
      <c r="A91" s="4"/>
      <c r="B91" s="6" t="s">
        <v>265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4</v>
      </c>
      <c r="T91" s="8">
        <v>4</v>
      </c>
    </row>
    <row r="92" spans="1:20">
      <c r="A92" s="4"/>
      <c r="B92" s="6" t="s">
        <v>266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>
        <v>6</v>
      </c>
    </row>
    <row r="93" spans="1:20">
      <c r="A93" s="4"/>
      <c r="B93" s="6" t="s">
        <v>267</v>
      </c>
      <c r="C93" s="6"/>
      <c r="D93" s="7"/>
      <c r="E93" s="7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1</v>
      </c>
    </row>
    <row r="94" spans="1:20">
      <c r="A94" s="4"/>
      <c r="B94" s="6" t="s">
        <v>268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2</v>
      </c>
      <c r="R94" s="7"/>
      <c r="S94" s="7"/>
      <c r="T94" s="8">
        <v>2</v>
      </c>
    </row>
    <row r="95" spans="1:20">
      <c r="A95" s="4"/>
      <c r="B95" s="6" t="s">
        <v>269</v>
      </c>
      <c r="C95" s="6">
        <v>7.25</v>
      </c>
      <c r="D95" s="7"/>
      <c r="E95" s="7"/>
      <c r="F95" s="7"/>
      <c r="G95" s="7"/>
      <c r="H95" s="7">
        <v>11.5</v>
      </c>
      <c r="I95" s="7"/>
      <c r="J95" s="7"/>
      <c r="K95" s="7">
        <v>1.25</v>
      </c>
      <c r="L95" s="7"/>
      <c r="M95" s="7"/>
      <c r="N95" s="7"/>
      <c r="O95" s="7"/>
      <c r="P95" s="7"/>
      <c r="Q95" s="7"/>
      <c r="R95" s="7"/>
      <c r="S95" s="7"/>
      <c r="T95" s="8">
        <v>20</v>
      </c>
    </row>
    <row r="96" spans="1:20">
      <c r="A96" s="4"/>
      <c r="B96" s="6" t="s">
        <v>270</v>
      </c>
      <c r="C96" s="6">
        <v>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>
        <v>2</v>
      </c>
    </row>
    <row r="97" spans="1:20">
      <c r="A97" s="4"/>
      <c r="B97" s="6" t="s">
        <v>271</v>
      </c>
      <c r="C97" s="6">
        <v>0.25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>
        <v>0.25</v>
      </c>
    </row>
    <row r="98" spans="1:20">
      <c r="A98" s="4"/>
      <c r="B98" s="6" t="s">
        <v>272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4</v>
      </c>
      <c r="R98" s="7"/>
      <c r="S98" s="7"/>
      <c r="T98" s="8">
        <v>4</v>
      </c>
    </row>
    <row r="99" spans="1:20">
      <c r="A99" s="4"/>
      <c r="B99" s="6" t="s">
        <v>273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>
        <v>2</v>
      </c>
    </row>
    <row r="100" spans="1:20">
      <c r="A100" s="4"/>
      <c r="B100" s="6" t="s">
        <v>274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1</v>
      </c>
      <c r="T100" s="8">
        <v>1</v>
      </c>
    </row>
    <row r="101" spans="1:20">
      <c r="A101" s="4"/>
      <c r="B101" s="6" t="s">
        <v>275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</v>
      </c>
      <c r="R101" s="7"/>
      <c r="S101" s="7"/>
      <c r="T101" s="8">
        <v>2</v>
      </c>
    </row>
    <row r="102" spans="1:20">
      <c r="A102" s="4"/>
      <c r="B102" s="6" t="s">
        <v>276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8">
        <v>1</v>
      </c>
    </row>
    <row r="103" spans="1:20">
      <c r="A103" s="4"/>
      <c r="B103" s="6" t="s">
        <v>277</v>
      </c>
      <c r="C103" s="6"/>
      <c r="D103" s="7"/>
      <c r="E103" s="7">
        <v>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1</v>
      </c>
    </row>
    <row r="104" spans="1:20">
      <c r="A104" s="4"/>
      <c r="B104" s="6" t="s">
        <v>278</v>
      </c>
      <c r="C104" s="6"/>
      <c r="D104" s="7">
        <v>1.2</v>
      </c>
      <c r="E104" s="7"/>
      <c r="F104" s="7">
        <v>1.5</v>
      </c>
      <c r="G104" s="7">
        <v>1</v>
      </c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>
        <v>1</v>
      </c>
      <c r="T104" s="8">
        <v>5.7</v>
      </c>
    </row>
    <row r="105" spans="1:20">
      <c r="A105" s="4"/>
      <c r="B105" s="6" t="s">
        <v>279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1</v>
      </c>
      <c r="R105" s="7"/>
      <c r="S105" s="7"/>
      <c r="T105" s="8">
        <v>1</v>
      </c>
    </row>
    <row r="106" spans="1:20">
      <c r="A106" s="4"/>
      <c r="B106" s="6" t="s">
        <v>280</v>
      </c>
      <c r="C106" s="6">
        <v>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>
        <v>2</v>
      </c>
    </row>
    <row r="107" spans="1:20">
      <c r="A107" s="4"/>
      <c r="B107" s="6" t="s">
        <v>281</v>
      </c>
      <c r="C107" s="6">
        <v>0.5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>
        <v>0.5</v>
      </c>
    </row>
    <row r="108" spans="1:20">
      <c r="A108" s="4"/>
      <c r="B108" s="6" t="s">
        <v>282</v>
      </c>
      <c r="C108" s="6"/>
      <c r="D108" s="7"/>
      <c r="E108" s="7"/>
      <c r="F108" s="7"/>
      <c r="G108" s="7"/>
      <c r="H108" s="7">
        <v>0.25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>
        <v>0.25</v>
      </c>
    </row>
    <row r="109" spans="1:20">
      <c r="A109" s="4"/>
      <c r="B109" s="6" t="s">
        <v>283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2</v>
      </c>
      <c r="R109" s="7"/>
      <c r="S109" s="7">
        <v>0.5</v>
      </c>
      <c r="T109" s="8">
        <v>2.5</v>
      </c>
    </row>
    <row r="110" spans="1:20">
      <c r="A110" s="4"/>
      <c r="B110" s="6" t="s">
        <v>284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8">
        <v>1</v>
      </c>
    </row>
    <row r="111" spans="1:20">
      <c r="A111" s="4"/>
      <c r="B111" s="6" t="s">
        <v>285</v>
      </c>
      <c r="C111" s="6"/>
      <c r="D111" s="7">
        <v>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2</v>
      </c>
      <c r="R111" s="7"/>
      <c r="S111" s="7">
        <v>1</v>
      </c>
      <c r="T111" s="8">
        <v>4</v>
      </c>
    </row>
    <row r="112" spans="1:20">
      <c r="A112" s="4"/>
      <c r="B112" s="6" t="s">
        <v>286</v>
      </c>
      <c r="C112" s="6"/>
      <c r="D112" s="7">
        <v>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1</v>
      </c>
    </row>
    <row r="113" spans="1:20">
      <c r="A113" s="4"/>
      <c r="B113" s="6" t="s">
        <v>287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v>1</v>
      </c>
      <c r="P113" s="7"/>
      <c r="Q113" s="7"/>
      <c r="R113" s="7"/>
      <c r="S113" s="7"/>
      <c r="T113" s="8">
        <v>1</v>
      </c>
    </row>
    <row r="114" spans="1:20">
      <c r="A114" s="4"/>
      <c r="B114" s="5" t="s">
        <v>288</v>
      </c>
      <c r="C114" s="6">
        <v>3</v>
      </c>
      <c r="D114" s="7"/>
      <c r="E114" s="7">
        <v>0.75</v>
      </c>
      <c r="F114" s="7"/>
      <c r="G114" s="7">
        <v>3.25</v>
      </c>
      <c r="H114" s="7">
        <v>3</v>
      </c>
      <c r="I114" s="7"/>
      <c r="J114" s="7"/>
      <c r="K114" s="7">
        <v>1</v>
      </c>
      <c r="L114" s="7"/>
      <c r="M114" s="7"/>
      <c r="N114" s="7">
        <v>0.25</v>
      </c>
      <c r="O114" s="7"/>
      <c r="P114" s="7">
        <v>1</v>
      </c>
      <c r="Q114" s="7"/>
      <c r="R114" s="7"/>
      <c r="S114" s="7">
        <v>1</v>
      </c>
      <c r="T114" s="8">
        <v>13.25</v>
      </c>
    </row>
    <row r="115" spans="1:20">
      <c r="A115" s="4"/>
      <c r="B115" s="6" t="s">
        <v>289</v>
      </c>
      <c r="C115" s="6">
        <v>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>
        <v>2</v>
      </c>
    </row>
    <row r="116" spans="1:20">
      <c r="A116" s="4"/>
      <c r="B116" s="6" t="s">
        <v>290</v>
      </c>
      <c r="C116" s="6"/>
      <c r="D116" s="7"/>
      <c r="E116" s="7"/>
      <c r="F116" s="7"/>
      <c r="G116" s="7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>
        <v>1</v>
      </c>
    </row>
    <row r="117" spans="1:20">
      <c r="A117" s="4"/>
      <c r="B117" s="6" t="s">
        <v>291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0.5</v>
      </c>
      <c r="P117" s="7"/>
      <c r="Q117" s="7"/>
      <c r="R117" s="7"/>
      <c r="S117" s="7"/>
      <c r="T117" s="8">
        <v>0.5</v>
      </c>
    </row>
    <row r="118" spans="1:20">
      <c r="A118" s="4"/>
      <c r="B118" s="6" t="s">
        <v>292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2</v>
      </c>
      <c r="P118" s="7"/>
      <c r="Q118" s="7"/>
      <c r="R118" s="7"/>
      <c r="S118" s="7"/>
      <c r="T118" s="8">
        <v>2</v>
      </c>
    </row>
    <row r="119" spans="1:20">
      <c r="A119" s="4"/>
      <c r="B119" s="6" t="s">
        <v>293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5</v>
      </c>
      <c r="R119" s="7"/>
      <c r="S119" s="7"/>
      <c r="T119" s="8">
        <v>5</v>
      </c>
    </row>
    <row r="120" spans="1:20">
      <c r="A120" s="4"/>
      <c r="B120" s="6" t="s">
        <v>294</v>
      </c>
      <c r="C120" s="6"/>
      <c r="D120" s="7"/>
      <c r="E120" s="7"/>
      <c r="F120" s="7"/>
      <c r="G120" s="7"/>
      <c r="H120" s="7"/>
      <c r="I120" s="7">
        <v>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>
        <v>1</v>
      </c>
    </row>
    <row r="121" spans="1:20">
      <c r="A121" s="4"/>
      <c r="B121" s="6" t="s">
        <v>295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0.5</v>
      </c>
      <c r="P121" s="7"/>
      <c r="Q121" s="7"/>
      <c r="R121" s="7"/>
      <c r="S121" s="7"/>
      <c r="T121" s="8">
        <v>0.5</v>
      </c>
    </row>
    <row r="122" spans="1:20">
      <c r="A122" s="4"/>
      <c r="B122" s="6" t="s">
        <v>296</v>
      </c>
      <c r="C122" s="6"/>
      <c r="D122" s="7"/>
      <c r="E122" s="7"/>
      <c r="F122" s="7"/>
      <c r="G122" s="7"/>
      <c r="H122" s="7">
        <v>3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>
        <v>1</v>
      </c>
      <c r="T122" s="8">
        <v>5</v>
      </c>
    </row>
    <row r="123" spans="1:20">
      <c r="A123" s="4"/>
      <c r="B123" s="6" t="s">
        <v>297</v>
      </c>
      <c r="C123" s="6"/>
      <c r="D123" s="7"/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>
        <v>1</v>
      </c>
    </row>
    <row r="124" spans="1:20">
      <c r="A124" s="4"/>
      <c r="B124" s="6" t="s">
        <v>298</v>
      </c>
      <c r="C124" s="6"/>
      <c r="D124" s="7"/>
      <c r="E124" s="7"/>
      <c r="F124" s="7"/>
      <c r="G124" s="7"/>
      <c r="H124" s="7">
        <v>1</v>
      </c>
      <c r="I124" s="7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>
        <v>2</v>
      </c>
    </row>
    <row r="125" spans="1:20">
      <c r="A125" s="4"/>
      <c r="B125" s="6" t="s">
        <v>299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8">
        <v>1</v>
      </c>
    </row>
    <row r="126" spans="1:20">
      <c r="A126" s="4"/>
      <c r="B126" s="6" t="s">
        <v>300</v>
      </c>
      <c r="C126" s="6"/>
      <c r="D126" s="7">
        <v>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</v>
      </c>
      <c r="R126" s="7"/>
      <c r="S126" s="7"/>
      <c r="T126" s="8">
        <v>3</v>
      </c>
    </row>
    <row r="127" spans="1:20">
      <c r="A127" s="4"/>
      <c r="B127" s="6" t="s">
        <v>301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8">
        <v>1</v>
      </c>
    </row>
    <row r="128" spans="1:20">
      <c r="A128" s="4"/>
      <c r="B128" s="6" t="s">
        <v>302</v>
      </c>
      <c r="C128" s="6"/>
      <c r="D128" s="7"/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>
        <v>1</v>
      </c>
    </row>
    <row r="129" spans="1:20">
      <c r="A129" s="4"/>
      <c r="B129" s="6" t="s">
        <v>303</v>
      </c>
      <c r="C129" s="6"/>
      <c r="D129" s="7"/>
      <c r="E129" s="7"/>
      <c r="F129" s="7"/>
      <c r="G129" s="7">
        <v>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</v>
      </c>
    </row>
    <row r="130" spans="1:20">
      <c r="A130" s="4"/>
      <c r="B130" s="6" t="s">
        <v>304</v>
      </c>
      <c r="C130" s="6"/>
      <c r="D130" s="7"/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>
        <v>1</v>
      </c>
    </row>
    <row r="131" spans="1:20">
      <c r="A131" s="4"/>
      <c r="B131" s="6" t="s">
        <v>305</v>
      </c>
      <c r="C131" s="6"/>
      <c r="D131" s="7"/>
      <c r="E131" s="7">
        <v>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>
        <v>2</v>
      </c>
    </row>
    <row r="132" spans="1:20">
      <c r="A132" s="4"/>
      <c r="B132" s="6" t="s">
        <v>306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16</v>
      </c>
      <c r="R132" s="7"/>
      <c r="S132" s="7"/>
      <c r="T132" s="8">
        <v>16</v>
      </c>
    </row>
    <row r="133" spans="1:20">
      <c r="A133" s="4"/>
      <c r="B133" s="6" t="s">
        <v>307</v>
      </c>
      <c r="C133" s="6"/>
      <c r="D133" s="7"/>
      <c r="E133" s="7"/>
      <c r="F133" s="7">
        <v>0.3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0.3</v>
      </c>
    </row>
    <row r="134" spans="1:20">
      <c r="A134" s="4"/>
      <c r="B134" s="6" t="s">
        <v>308</v>
      </c>
      <c r="C134" s="6"/>
      <c r="D134" s="7">
        <v>0.5</v>
      </c>
      <c r="E134" s="7"/>
      <c r="F134" s="7"/>
      <c r="G134" s="7">
        <v>0.25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>
        <v>0.75</v>
      </c>
    </row>
    <row r="135" spans="1:20">
      <c r="A135" s="4"/>
      <c r="B135" s="6" t="s">
        <v>309</v>
      </c>
      <c r="C135" s="6"/>
      <c r="D135" s="7"/>
      <c r="E135" s="7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>
        <v>1</v>
      </c>
    </row>
    <row r="136" spans="1:20">
      <c r="A136" s="4"/>
      <c r="B136" s="6" t="s">
        <v>310</v>
      </c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</v>
      </c>
      <c r="O136" s="7"/>
      <c r="P136" s="7"/>
      <c r="Q136" s="7"/>
      <c r="R136" s="7"/>
      <c r="S136" s="7"/>
      <c r="T136" s="8">
        <v>1</v>
      </c>
    </row>
    <row r="137" spans="1:20">
      <c r="A137" s="4"/>
      <c r="B137" s="6" t="s">
        <v>311</v>
      </c>
      <c r="C137" s="6"/>
      <c r="D137" s="7"/>
      <c r="E137" s="7"/>
      <c r="F137" s="7"/>
      <c r="G137" s="7">
        <v>0.1</v>
      </c>
      <c r="H137" s="7"/>
      <c r="I137" s="7"/>
      <c r="J137" s="7"/>
      <c r="K137" s="7"/>
      <c r="L137" s="7"/>
      <c r="M137" s="7"/>
      <c r="N137" s="7">
        <v>0.15</v>
      </c>
      <c r="O137" s="7"/>
      <c r="P137" s="7"/>
      <c r="Q137" s="7"/>
      <c r="R137" s="7"/>
      <c r="S137" s="7"/>
      <c r="T137" s="8">
        <v>0.25</v>
      </c>
    </row>
    <row r="138" spans="1:20">
      <c r="A138" s="4"/>
      <c r="B138" s="6" t="s">
        <v>312</v>
      </c>
      <c r="C138" s="6"/>
      <c r="D138" s="7"/>
      <c r="E138" s="7">
        <v>0.2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>
        <v>0.2</v>
      </c>
    </row>
    <row r="139" spans="1:20">
      <c r="A139" s="4"/>
      <c r="B139" s="6" t="s">
        <v>313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v>1</v>
      </c>
      <c r="P139" s="7"/>
      <c r="Q139" s="7"/>
      <c r="R139" s="7"/>
      <c r="S139" s="7"/>
      <c r="T139" s="8">
        <v>1</v>
      </c>
    </row>
    <row r="140" spans="1:20">
      <c r="A140" s="4"/>
      <c r="B140" s="6" t="s">
        <v>314</v>
      </c>
      <c r="C140" s="6"/>
      <c r="D140" s="7"/>
      <c r="E140" s="7">
        <v>0.25</v>
      </c>
      <c r="F140" s="7"/>
      <c r="G140" s="7"/>
      <c r="H140" s="7"/>
      <c r="I140" s="7"/>
      <c r="J140" s="7"/>
      <c r="K140" s="7"/>
      <c r="L140" s="7"/>
      <c r="M140" s="7"/>
      <c r="N140" s="7">
        <v>0.75</v>
      </c>
      <c r="O140" s="7"/>
      <c r="P140" s="7"/>
      <c r="Q140" s="7"/>
      <c r="R140" s="7"/>
      <c r="S140" s="7"/>
      <c r="T140" s="8">
        <v>1</v>
      </c>
    </row>
    <row r="141" spans="1:20">
      <c r="A141" s="4"/>
      <c r="B141" s="6" t="s">
        <v>315</v>
      </c>
      <c r="C141" s="6"/>
      <c r="D141" s="7"/>
      <c r="E141" s="7"/>
      <c r="F141" s="7"/>
      <c r="G141" s="7"/>
      <c r="H141" s="7">
        <v>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1</v>
      </c>
    </row>
    <row r="142" spans="1:20">
      <c r="A142" s="4"/>
      <c r="B142" s="6" t="s">
        <v>316</v>
      </c>
      <c r="C142" s="6"/>
      <c r="D142" s="7"/>
      <c r="E142" s="7"/>
      <c r="F142" s="7"/>
      <c r="G142" s="7">
        <v>61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>
        <v>61</v>
      </c>
    </row>
    <row r="143" spans="1:20">
      <c r="A143" s="4"/>
      <c r="B143" s="6" t="s">
        <v>317</v>
      </c>
      <c r="C143" s="6"/>
      <c r="D143" s="7"/>
      <c r="E143" s="7"/>
      <c r="F143" s="7"/>
      <c r="G143" s="7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1</v>
      </c>
    </row>
    <row r="144" spans="1:20">
      <c r="A144" s="4"/>
      <c r="B144" s="6" t="s">
        <v>318</v>
      </c>
      <c r="C144" s="6"/>
      <c r="D144" s="7"/>
      <c r="E144" s="7"/>
      <c r="F144" s="7"/>
      <c r="G144" s="7">
        <v>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>
        <v>9</v>
      </c>
    </row>
    <row r="145" spans="1:20">
      <c r="A145" s="4"/>
      <c r="B145" s="6" t="s">
        <v>319</v>
      </c>
      <c r="C145" s="6"/>
      <c r="D145" s="7"/>
      <c r="E145" s="7"/>
      <c r="F145" s="7"/>
      <c r="G145" s="7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1</v>
      </c>
    </row>
    <row r="146" spans="1:20">
      <c r="A146" s="4"/>
      <c r="B146" s="6" t="s">
        <v>320</v>
      </c>
      <c r="C146" s="6"/>
      <c r="D146" s="7"/>
      <c r="E146" s="7"/>
      <c r="F146" s="7"/>
      <c r="G146" s="7"/>
      <c r="H146" s="7"/>
      <c r="I146" s="7"/>
      <c r="J146" s="7"/>
      <c r="K146" s="7">
        <v>1</v>
      </c>
      <c r="L146" s="7"/>
      <c r="M146" s="7"/>
      <c r="N146" s="7">
        <v>1</v>
      </c>
      <c r="O146" s="7"/>
      <c r="P146" s="7"/>
      <c r="Q146" s="7"/>
      <c r="R146" s="7"/>
      <c r="S146" s="7"/>
      <c r="T146" s="8">
        <v>2</v>
      </c>
    </row>
    <row r="147" spans="1:20">
      <c r="A147" s="4"/>
      <c r="B147" s="6" t="s">
        <v>321</v>
      </c>
      <c r="C147" s="6"/>
      <c r="D147" s="7"/>
      <c r="E147" s="7"/>
      <c r="F147" s="7"/>
      <c r="G147" s="7"/>
      <c r="H147" s="7">
        <v>1.25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>
        <v>1.25</v>
      </c>
    </row>
    <row r="148" spans="1:20">
      <c r="A148" s="4"/>
      <c r="B148" s="6" t="s">
        <v>322</v>
      </c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v>1</v>
      </c>
      <c r="P148" s="7"/>
      <c r="Q148" s="7"/>
      <c r="R148" s="7"/>
      <c r="S148" s="7"/>
      <c r="T148" s="8">
        <v>1</v>
      </c>
    </row>
    <row r="149" spans="1:20">
      <c r="A149" s="4"/>
      <c r="B149" s="6" t="s">
        <v>323</v>
      </c>
      <c r="C149" s="6">
        <v>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>
        <v>3</v>
      </c>
    </row>
    <row r="150" spans="1:20">
      <c r="A150" s="4"/>
      <c r="B150" s="6" t="s">
        <v>324</v>
      </c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8.5</v>
      </c>
      <c r="Q150" s="7"/>
      <c r="R150" s="7"/>
      <c r="S150" s="7"/>
      <c r="T150" s="8">
        <v>8.5</v>
      </c>
    </row>
    <row r="151" spans="1:20">
      <c r="A151" s="4"/>
      <c r="B151" s="5" t="s">
        <v>325</v>
      </c>
      <c r="C151" s="6"/>
      <c r="D151" s="7"/>
      <c r="E151" s="7">
        <v>1</v>
      </c>
      <c r="F151" s="7">
        <v>4</v>
      </c>
      <c r="G151" s="7">
        <v>0.5</v>
      </c>
      <c r="H151" s="7">
        <v>3</v>
      </c>
      <c r="I151" s="7">
        <v>1</v>
      </c>
      <c r="J151" s="7"/>
      <c r="K151" s="7"/>
      <c r="L151" s="7"/>
      <c r="M151" s="7">
        <v>1</v>
      </c>
      <c r="N151" s="7"/>
      <c r="O151" s="7"/>
      <c r="P151" s="7">
        <v>2</v>
      </c>
      <c r="Q151" s="7">
        <v>14.5</v>
      </c>
      <c r="R151" s="7"/>
      <c r="S151" s="7">
        <v>9</v>
      </c>
      <c r="T151" s="8">
        <v>36</v>
      </c>
    </row>
    <row r="152" spans="1:20">
      <c r="A152" s="4"/>
      <c r="B152" s="6" t="s">
        <v>326</v>
      </c>
      <c r="C152" s="6">
        <v>3</v>
      </c>
      <c r="D152" s="7"/>
      <c r="E152" s="7"/>
      <c r="F152" s="7"/>
      <c r="G152" s="7"/>
      <c r="H152" s="7">
        <v>3</v>
      </c>
      <c r="I152" s="7"/>
      <c r="J152" s="7"/>
      <c r="K152" s="7"/>
      <c r="L152" s="7"/>
      <c r="M152" s="7"/>
      <c r="N152" s="7"/>
      <c r="O152" s="7"/>
      <c r="P152" s="7"/>
      <c r="Q152" s="7">
        <v>5.5</v>
      </c>
      <c r="R152" s="7"/>
      <c r="S152" s="7"/>
      <c r="T152" s="8">
        <v>11.5</v>
      </c>
    </row>
    <row r="153" spans="1:20">
      <c r="A153" s="4"/>
      <c r="B153" s="6" t="s">
        <v>327</v>
      </c>
      <c r="C153" s="6">
        <v>2</v>
      </c>
      <c r="D153" s="7"/>
      <c r="E153" s="7"/>
      <c r="F153" s="7"/>
      <c r="G153" s="7"/>
      <c r="H153" s="7">
        <v>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>
        <v>3</v>
      </c>
    </row>
    <row r="154" spans="1:20">
      <c r="A154" s="4"/>
      <c r="B154" s="6" t="s">
        <v>328</v>
      </c>
      <c r="C154" s="6"/>
      <c r="D154" s="7"/>
      <c r="E154" s="7"/>
      <c r="F154" s="7"/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>
        <v>2</v>
      </c>
    </row>
    <row r="155" spans="1:20">
      <c r="A155" s="4"/>
      <c r="B155" s="6" t="s">
        <v>329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>
        <v>1</v>
      </c>
      <c r="T155" s="8">
        <v>1</v>
      </c>
    </row>
    <row r="156" spans="1:20">
      <c r="A156" s="4"/>
      <c r="B156" s="6" t="s">
        <v>330</v>
      </c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8">
        <v>1</v>
      </c>
    </row>
    <row r="157" spans="1:20">
      <c r="A157" s="4"/>
      <c r="B157" s="6" t="s">
        <v>331</v>
      </c>
      <c r="C157" s="6"/>
      <c r="D157" s="7"/>
      <c r="E157" s="7">
        <v>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>
        <v>3</v>
      </c>
    </row>
    <row r="158" spans="1:20">
      <c r="A158" s="4"/>
      <c r="B158" s="6" t="s">
        <v>332</v>
      </c>
      <c r="C158" s="6">
        <v>1</v>
      </c>
      <c r="D158" s="7">
        <v>0.5</v>
      </c>
      <c r="E158" s="7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>
        <v>0.3</v>
      </c>
      <c r="Q158" s="7"/>
      <c r="R158" s="7"/>
      <c r="S158" s="7"/>
      <c r="T158" s="8">
        <v>2.8</v>
      </c>
    </row>
    <row r="159" spans="1:20">
      <c r="A159" s="4"/>
      <c r="B159" s="6" t="s">
        <v>333</v>
      </c>
      <c r="C159" s="6">
        <v>1</v>
      </c>
      <c r="D159" s="7"/>
      <c r="E159" s="7"/>
      <c r="F159" s="7"/>
      <c r="G159" s="7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>
        <v>2</v>
      </c>
    </row>
    <row r="160" spans="1:20">
      <c r="A160" s="4"/>
      <c r="B160" s="6" t="s">
        <v>334</v>
      </c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0.15</v>
      </c>
      <c r="Q160" s="7"/>
      <c r="R160" s="7"/>
      <c r="S160" s="7">
        <v>1</v>
      </c>
      <c r="T160" s="8">
        <v>1.1499999999999999</v>
      </c>
    </row>
    <row r="161" spans="1:20">
      <c r="A161" s="4"/>
      <c r="B161" s="5" t="s">
        <v>335</v>
      </c>
      <c r="C161" s="6"/>
      <c r="D161" s="7">
        <v>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v>1</v>
      </c>
      <c r="P161" s="7"/>
      <c r="Q161" s="7"/>
      <c r="R161" s="7"/>
      <c r="S161" s="7"/>
      <c r="T161" s="8">
        <v>2</v>
      </c>
    </row>
    <row r="162" spans="1:20">
      <c r="A162" s="4"/>
      <c r="B162" s="6" t="s">
        <v>336</v>
      </c>
      <c r="C162" s="6"/>
      <c r="D162" s="7"/>
      <c r="E162" s="7"/>
      <c r="F162" s="7"/>
      <c r="G162" s="7"/>
      <c r="H162" s="7">
        <v>1</v>
      </c>
      <c r="I162" s="7"/>
      <c r="J162" s="7"/>
      <c r="K162" s="7"/>
      <c r="L162" s="7"/>
      <c r="M162" s="7"/>
      <c r="N162" s="7"/>
      <c r="O162" s="7"/>
      <c r="P162" s="7"/>
      <c r="Q162" s="7">
        <v>1</v>
      </c>
      <c r="R162" s="7"/>
      <c r="S162" s="7"/>
      <c r="T162" s="8">
        <v>2</v>
      </c>
    </row>
    <row r="163" spans="1:20">
      <c r="A163" s="4"/>
      <c r="B163" s="6" t="s">
        <v>337</v>
      </c>
      <c r="C163" s="6"/>
      <c r="D163" s="7"/>
      <c r="E163" s="7"/>
      <c r="F163" s="7"/>
      <c r="G163" s="7"/>
      <c r="H163" s="7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>
        <v>1</v>
      </c>
    </row>
    <row r="164" spans="1:20">
      <c r="A164" s="9" t="s">
        <v>18</v>
      </c>
      <c r="B164" s="10"/>
      <c r="C164" s="9">
        <v>118.25</v>
      </c>
      <c r="D164" s="11">
        <v>25.7</v>
      </c>
      <c r="E164" s="11">
        <v>22.55</v>
      </c>
      <c r="F164" s="11">
        <v>38.15</v>
      </c>
      <c r="G164" s="11">
        <v>190.1</v>
      </c>
      <c r="H164" s="11">
        <v>138.69999999999999</v>
      </c>
      <c r="I164" s="11">
        <v>10</v>
      </c>
      <c r="J164" s="11">
        <v>11</v>
      </c>
      <c r="K164" s="11">
        <v>20.5</v>
      </c>
      <c r="L164" s="11">
        <v>1.5</v>
      </c>
      <c r="M164" s="11">
        <v>15</v>
      </c>
      <c r="N164" s="11">
        <v>20.7</v>
      </c>
      <c r="O164" s="11">
        <v>22</v>
      </c>
      <c r="P164" s="11">
        <v>34.950000000000003</v>
      </c>
      <c r="Q164" s="11">
        <v>106.2</v>
      </c>
      <c r="R164" s="11">
        <v>0.5</v>
      </c>
      <c r="S164" s="11">
        <v>68.95</v>
      </c>
      <c r="T164" s="12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338</v>
      </c>
      <c r="B2" s="1" t="s">
        <v>339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340</v>
      </c>
      <c r="C3" s="6"/>
      <c r="D3" s="7"/>
      <c r="E3" s="7"/>
      <c r="F3" s="7"/>
      <c r="G3" s="7"/>
      <c r="H3" s="7"/>
      <c r="I3" s="7"/>
      <c r="J3" s="7"/>
      <c r="K3" s="7"/>
      <c r="L3" s="7"/>
      <c r="M3" s="7">
        <v>1</v>
      </c>
      <c r="N3" s="7"/>
      <c r="O3" s="7"/>
      <c r="P3" s="7"/>
      <c r="Q3" s="7"/>
      <c r="R3" s="8">
        <v>1</v>
      </c>
    </row>
    <row r="4" spans="1:18">
      <c r="A4" s="4"/>
      <c r="B4" s="6" t="s">
        <v>341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</v>
      </c>
      <c r="R4" s="8">
        <v>2</v>
      </c>
    </row>
    <row r="5" spans="1:18">
      <c r="A5" s="4"/>
      <c r="B5" s="1" t="s">
        <v>342</v>
      </c>
      <c r="C5" s="1"/>
      <c r="D5" s="2"/>
      <c r="E5" s="2"/>
      <c r="F5" s="2"/>
      <c r="G5" s="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3">
        <v>2</v>
      </c>
    </row>
    <row r="6" spans="1:18">
      <c r="A6" s="4"/>
      <c r="B6" s="1" t="s">
        <v>343</v>
      </c>
      <c r="C6" s="1">
        <v>1.5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</v>
      </c>
      <c r="R6" s="3">
        <v>2.5</v>
      </c>
    </row>
    <row r="7" spans="1:18">
      <c r="A7" s="4"/>
      <c r="B7" s="6" t="s">
        <v>344</v>
      </c>
      <c r="C7" s="6"/>
      <c r="D7" s="7"/>
      <c r="E7" s="7"/>
      <c r="F7" s="7"/>
      <c r="G7" s="7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8">
        <v>47</v>
      </c>
    </row>
    <row r="8" spans="1:18">
      <c r="A8" s="4"/>
      <c r="B8" s="6" t="s">
        <v>345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1</v>
      </c>
    </row>
    <row r="9" spans="1:18">
      <c r="A9" s="4"/>
      <c r="B9" s="5" t="s">
        <v>340</v>
      </c>
      <c r="C9" s="6">
        <v>75</v>
      </c>
      <c r="D9" s="7">
        <v>10</v>
      </c>
      <c r="E9" s="7"/>
      <c r="F9" s="7">
        <v>13</v>
      </c>
      <c r="G9" s="7"/>
      <c r="H9" s="7">
        <v>117</v>
      </c>
      <c r="I9" s="7">
        <v>14</v>
      </c>
      <c r="J9" s="7"/>
      <c r="K9" s="7"/>
      <c r="L9" s="7"/>
      <c r="M9" s="7">
        <v>11</v>
      </c>
      <c r="N9" s="7"/>
      <c r="O9" s="7"/>
      <c r="P9" s="7"/>
      <c r="Q9" s="7"/>
      <c r="R9" s="8">
        <v>240</v>
      </c>
    </row>
    <row r="10" spans="1:18">
      <c r="A10" s="4"/>
      <c r="B10" s="6" t="s">
        <v>346</v>
      </c>
      <c r="C10" s="6"/>
      <c r="D10" s="7"/>
      <c r="E10" s="7">
        <v>0.25</v>
      </c>
      <c r="F10" s="7"/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8">
        <v>1.25</v>
      </c>
    </row>
    <row r="11" spans="1:18">
      <c r="A11" s="4"/>
      <c r="B11" s="6" t="s">
        <v>347</v>
      </c>
      <c r="C11" s="6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16</v>
      </c>
    </row>
    <row r="12" spans="1:18">
      <c r="A12" s="4"/>
      <c r="B12" s="6" t="s">
        <v>348</v>
      </c>
      <c r="C12" s="6"/>
      <c r="D12" s="7"/>
      <c r="E12" s="7"/>
      <c r="F12" s="7"/>
      <c r="G12" s="7"/>
      <c r="H12" s="7">
        <v>3</v>
      </c>
      <c r="I12" s="7"/>
      <c r="J12" s="7"/>
      <c r="K12" s="7"/>
      <c r="L12" s="7">
        <v>1</v>
      </c>
      <c r="M12" s="7"/>
      <c r="N12" s="7"/>
      <c r="O12" s="7"/>
      <c r="P12" s="7"/>
      <c r="Q12" s="7">
        <v>1</v>
      </c>
      <c r="R12" s="8">
        <v>5</v>
      </c>
    </row>
    <row r="13" spans="1:18">
      <c r="A13" s="4"/>
      <c r="B13" s="6" t="s">
        <v>349</v>
      </c>
      <c r="C13" s="6">
        <v>2</v>
      </c>
      <c r="D13" s="7"/>
      <c r="E13" s="7"/>
      <c r="F13" s="7"/>
      <c r="G13" s="7"/>
      <c r="H13" s="7"/>
      <c r="I13" s="7"/>
      <c r="J13" s="7"/>
      <c r="K13" s="7"/>
      <c r="L13" s="7">
        <v>1</v>
      </c>
      <c r="M13" s="7"/>
      <c r="N13" s="7"/>
      <c r="O13" s="7"/>
      <c r="P13" s="7"/>
      <c r="Q13" s="7"/>
      <c r="R13" s="8">
        <v>3</v>
      </c>
    </row>
    <row r="14" spans="1:18">
      <c r="A14" s="4"/>
      <c r="B14" s="14" t="s">
        <v>350</v>
      </c>
      <c r="C14" s="1">
        <v>55</v>
      </c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9</v>
      </c>
      <c r="R14" s="3">
        <v>67</v>
      </c>
    </row>
    <row r="15" spans="1:18">
      <c r="A15" s="4"/>
      <c r="B15" s="6" t="s">
        <v>351</v>
      </c>
      <c r="C15" s="6">
        <v>79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15</v>
      </c>
      <c r="R15" s="8">
        <v>94</v>
      </c>
    </row>
    <row r="16" spans="1:18">
      <c r="A16" s="4"/>
      <c r="B16" s="6" t="s">
        <v>352</v>
      </c>
      <c r="C16" s="6">
        <v>4.2</v>
      </c>
      <c r="D16" s="7"/>
      <c r="E16" s="7"/>
      <c r="F16" s="7"/>
      <c r="G16" s="7">
        <v>2</v>
      </c>
      <c r="H16" s="7"/>
      <c r="I16" s="7"/>
      <c r="J16" s="7"/>
      <c r="K16" s="7"/>
      <c r="L16" s="7"/>
      <c r="M16" s="7"/>
      <c r="N16" s="7"/>
      <c r="O16" s="7"/>
      <c r="P16" s="7">
        <v>1.25</v>
      </c>
      <c r="Q16" s="7"/>
      <c r="R16" s="8">
        <v>7.45</v>
      </c>
    </row>
    <row r="17" spans="1:18">
      <c r="A17" s="4"/>
      <c r="B17" s="6" t="s">
        <v>353</v>
      </c>
      <c r="C17" s="6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v>1</v>
      </c>
    </row>
    <row r="18" spans="1:18">
      <c r="A18" s="4"/>
      <c r="B18" s="6" t="s">
        <v>354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1</v>
      </c>
      <c r="P18" s="7"/>
      <c r="Q18" s="7"/>
      <c r="R18" s="8">
        <v>1</v>
      </c>
    </row>
    <row r="19" spans="1:18">
      <c r="A19" s="4"/>
      <c r="B19" s="5" t="s">
        <v>355</v>
      </c>
      <c r="C19" s="6"/>
      <c r="D19" s="7">
        <v>5.5</v>
      </c>
      <c r="E19" s="7"/>
      <c r="F19" s="7"/>
      <c r="G19" s="7"/>
      <c r="H19" s="7">
        <v>2</v>
      </c>
      <c r="I19" s="7"/>
      <c r="J19" s="7"/>
      <c r="K19" s="7"/>
      <c r="L19" s="7">
        <v>2</v>
      </c>
      <c r="M19" s="7"/>
      <c r="N19" s="7"/>
      <c r="O19" s="7"/>
      <c r="P19" s="7"/>
      <c r="Q19" s="7"/>
      <c r="R19" s="8">
        <v>9.5</v>
      </c>
    </row>
    <row r="20" spans="1:18">
      <c r="A20" s="4"/>
      <c r="B20" s="6" t="s">
        <v>356</v>
      </c>
      <c r="C20" s="6">
        <v>5</v>
      </c>
      <c r="D20" s="7"/>
      <c r="E20" s="7">
        <v>0.4</v>
      </c>
      <c r="F20" s="7"/>
      <c r="G20" s="7"/>
      <c r="H20" s="7"/>
      <c r="I20" s="7"/>
      <c r="J20" s="7"/>
      <c r="K20" s="7"/>
      <c r="L20" s="7"/>
      <c r="M20" s="7">
        <v>0.4</v>
      </c>
      <c r="N20" s="7">
        <v>4</v>
      </c>
      <c r="O20" s="7"/>
      <c r="P20" s="7"/>
      <c r="Q20" s="7"/>
      <c r="R20" s="8">
        <v>9.8000000000000007</v>
      </c>
    </row>
    <row r="21" spans="1:18">
      <c r="A21" s="4"/>
      <c r="B21" s="6" t="s">
        <v>357</v>
      </c>
      <c r="C21" s="6"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2</v>
      </c>
    </row>
    <row r="22" spans="1:18">
      <c r="A22" s="4"/>
      <c r="B22" s="6" t="s">
        <v>358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359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/>
      <c r="P23" s="7"/>
      <c r="Q23" s="7"/>
      <c r="R23" s="8">
        <v>2</v>
      </c>
    </row>
    <row r="24" spans="1:18">
      <c r="A24" s="4"/>
      <c r="B24" s="6" t="s">
        <v>253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</row>
    <row r="25" spans="1:18">
      <c r="A25" s="4"/>
      <c r="B25" s="6" t="s">
        <v>360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1</v>
      </c>
      <c r="Q25" s="7"/>
      <c r="R25" s="8">
        <v>1</v>
      </c>
    </row>
    <row r="26" spans="1:18">
      <c r="A26" s="4"/>
      <c r="B26" s="6" t="s">
        <v>361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0.5</v>
      </c>
      <c r="N26" s="7"/>
      <c r="O26" s="7"/>
      <c r="P26" s="7"/>
      <c r="Q26" s="7"/>
      <c r="R26" s="8">
        <v>0.5</v>
      </c>
    </row>
    <row r="27" spans="1:18">
      <c r="A27" s="4"/>
      <c r="B27" s="6" t="s">
        <v>362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8">
        <v>2</v>
      </c>
    </row>
    <row r="28" spans="1:18">
      <c r="A28" s="4"/>
      <c r="B28" s="6" t="s">
        <v>363</v>
      </c>
      <c r="C28" s="6"/>
      <c r="D28" s="7"/>
      <c r="E28" s="7"/>
      <c r="F28" s="7"/>
      <c r="G28" s="7"/>
      <c r="H28" s="7">
        <v>5</v>
      </c>
      <c r="I28" s="7"/>
      <c r="J28" s="7"/>
      <c r="K28" s="7"/>
      <c r="L28" s="7"/>
      <c r="M28" s="7">
        <v>0.3</v>
      </c>
      <c r="N28" s="7"/>
      <c r="O28" s="7"/>
      <c r="P28" s="7"/>
      <c r="Q28" s="7">
        <v>4</v>
      </c>
      <c r="R28" s="8">
        <v>9.3000000000000007</v>
      </c>
    </row>
    <row r="29" spans="1:18">
      <c r="A29" s="4"/>
      <c r="B29" s="6" t="s">
        <v>364</v>
      </c>
      <c r="C29" s="6"/>
      <c r="D29" s="7"/>
      <c r="E29" s="7"/>
      <c r="F29" s="7"/>
      <c r="G29" s="7"/>
      <c r="H29" s="7">
        <v>13</v>
      </c>
      <c r="I29" s="7"/>
      <c r="J29" s="7"/>
      <c r="K29" s="7"/>
      <c r="L29" s="7"/>
      <c r="M29" s="7"/>
      <c r="N29" s="7"/>
      <c r="O29" s="7"/>
      <c r="P29" s="7"/>
      <c r="Q29" s="7"/>
      <c r="R29" s="8">
        <v>13</v>
      </c>
    </row>
    <row r="30" spans="1:18">
      <c r="A30" s="4"/>
      <c r="B30" s="6" t="s">
        <v>365</v>
      </c>
      <c r="C30" s="6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v>1</v>
      </c>
    </row>
    <row r="31" spans="1:18">
      <c r="A31" s="4"/>
      <c r="B31" s="6" t="s">
        <v>366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v>3</v>
      </c>
      <c r="O31" s="7"/>
      <c r="P31" s="7"/>
      <c r="Q31" s="7"/>
      <c r="R31" s="8">
        <v>3</v>
      </c>
    </row>
    <row r="32" spans="1:18">
      <c r="A32" s="4"/>
      <c r="B32" s="6" t="s">
        <v>367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11</v>
      </c>
      <c r="O32" s="7"/>
      <c r="P32" s="7"/>
      <c r="Q32" s="7"/>
      <c r="R32" s="8">
        <v>11</v>
      </c>
    </row>
    <row r="33" spans="1:18">
      <c r="A33" s="4"/>
      <c r="B33" s="5" t="s">
        <v>368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1</v>
      </c>
      <c r="P33" s="7"/>
      <c r="Q33" s="7"/>
      <c r="R33" s="8">
        <v>1</v>
      </c>
    </row>
    <row r="34" spans="1:18">
      <c r="A34" s="4"/>
      <c r="B34" s="6" t="s">
        <v>369</v>
      </c>
      <c r="C34" s="6"/>
      <c r="D34" s="7"/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1</v>
      </c>
    </row>
    <row r="35" spans="1:18">
      <c r="A35" s="4"/>
      <c r="B35" s="6" t="s">
        <v>370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2</v>
      </c>
      <c r="R35" s="8">
        <v>2</v>
      </c>
    </row>
    <row r="36" spans="1:18">
      <c r="A36" s="4"/>
      <c r="B36" s="6" t="s">
        <v>346</v>
      </c>
      <c r="C36" s="6">
        <v>1</v>
      </c>
      <c r="D36" s="7"/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8">
        <v>2</v>
      </c>
    </row>
    <row r="37" spans="1:18">
      <c r="A37" s="4"/>
      <c r="B37" s="6" t="s">
        <v>371</v>
      </c>
      <c r="C37" s="6"/>
      <c r="D37" s="7">
        <v>1</v>
      </c>
      <c r="E37" s="7"/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>
        <v>1</v>
      </c>
      <c r="Q37" s="7"/>
      <c r="R37" s="8">
        <v>3</v>
      </c>
    </row>
    <row r="38" spans="1:18">
      <c r="A38" s="4"/>
      <c r="B38" s="6" t="s">
        <v>269</v>
      </c>
      <c r="C38" s="6">
        <v>28.75</v>
      </c>
      <c r="D38" s="7">
        <v>1</v>
      </c>
      <c r="E38" s="7"/>
      <c r="F38" s="7">
        <v>10.7</v>
      </c>
      <c r="G38" s="7"/>
      <c r="H38" s="7">
        <v>12</v>
      </c>
      <c r="I38" s="7"/>
      <c r="J38" s="7"/>
      <c r="K38" s="7">
        <v>2</v>
      </c>
      <c r="L38" s="7"/>
      <c r="M38" s="7"/>
      <c r="N38" s="7">
        <v>1</v>
      </c>
      <c r="O38" s="7"/>
      <c r="P38" s="7">
        <v>3</v>
      </c>
      <c r="Q38" s="7"/>
      <c r="R38" s="8">
        <v>58.45</v>
      </c>
    </row>
    <row r="39" spans="1:18">
      <c r="A39" s="4"/>
      <c r="B39" s="6" t="s">
        <v>271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v>4</v>
      </c>
    </row>
    <row r="40" spans="1:18">
      <c r="A40" s="4"/>
      <c r="B40" s="6" t="s">
        <v>372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8">
        <v>1</v>
      </c>
    </row>
    <row r="41" spans="1:18">
      <c r="A41" s="4"/>
      <c r="B41" s="6" t="s">
        <v>373</v>
      </c>
      <c r="C41" s="6"/>
      <c r="D41" s="7">
        <v>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1</v>
      </c>
    </row>
    <row r="42" spans="1:18">
      <c r="A42" s="4"/>
      <c r="B42" s="6" t="s">
        <v>276</v>
      </c>
      <c r="C42" s="6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2</v>
      </c>
    </row>
    <row r="43" spans="1:18">
      <c r="A43" s="4"/>
      <c r="B43" s="6" t="s">
        <v>374</v>
      </c>
      <c r="C43" s="6"/>
      <c r="D43" s="7">
        <v>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</row>
    <row r="44" spans="1:18">
      <c r="A44" s="4"/>
      <c r="B44" s="6" t="s">
        <v>279</v>
      </c>
      <c r="C44" s="6">
        <v>0.25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0.25</v>
      </c>
    </row>
    <row r="45" spans="1:18">
      <c r="A45" s="4"/>
      <c r="B45" s="6" t="s">
        <v>375</v>
      </c>
      <c r="C45" s="6">
        <v>15.5</v>
      </c>
      <c r="D45" s="7"/>
      <c r="E45" s="7"/>
      <c r="F45" s="7">
        <v>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2</v>
      </c>
      <c r="R45" s="8">
        <v>24.5</v>
      </c>
    </row>
    <row r="46" spans="1:18">
      <c r="A46" s="4"/>
      <c r="B46" s="6" t="s">
        <v>283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1</v>
      </c>
      <c r="R46" s="8">
        <v>1</v>
      </c>
    </row>
    <row r="47" spans="1:18">
      <c r="A47" s="4"/>
      <c r="B47" s="6" t="s">
        <v>284</v>
      </c>
      <c r="C47" s="6"/>
      <c r="D47" s="7"/>
      <c r="E47" s="7"/>
      <c r="F47" s="7"/>
      <c r="G47" s="7"/>
      <c r="H47" s="7"/>
      <c r="I47" s="7">
        <v>0.5</v>
      </c>
      <c r="J47" s="7"/>
      <c r="K47" s="7"/>
      <c r="L47" s="7"/>
      <c r="M47" s="7"/>
      <c r="N47" s="7">
        <v>2</v>
      </c>
      <c r="O47" s="7"/>
      <c r="P47" s="7"/>
      <c r="Q47" s="7"/>
      <c r="R47" s="8">
        <v>2.5</v>
      </c>
    </row>
    <row r="48" spans="1:18">
      <c r="A48" s="4"/>
      <c r="B48" s="6" t="s">
        <v>376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v>1</v>
      </c>
      <c r="P48" s="7"/>
      <c r="Q48" s="7"/>
      <c r="R48" s="8">
        <v>1</v>
      </c>
    </row>
    <row r="49" spans="1:18">
      <c r="A49" s="4"/>
      <c r="B49" s="6" t="s">
        <v>298</v>
      </c>
      <c r="C49" s="6"/>
      <c r="D49" s="7"/>
      <c r="E49" s="7"/>
      <c r="F49" s="7"/>
      <c r="G49" s="7"/>
      <c r="H49" s="7">
        <v>3</v>
      </c>
      <c r="I49" s="7"/>
      <c r="J49" s="7"/>
      <c r="K49" s="7">
        <v>1</v>
      </c>
      <c r="L49" s="7">
        <v>1</v>
      </c>
      <c r="M49" s="7"/>
      <c r="N49" s="7"/>
      <c r="O49" s="7"/>
      <c r="P49" s="7"/>
      <c r="Q49" s="7"/>
      <c r="R49" s="8">
        <v>5</v>
      </c>
    </row>
    <row r="50" spans="1:18">
      <c r="A50" s="4"/>
      <c r="B50" s="6" t="s">
        <v>377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8">
        <v>1</v>
      </c>
    </row>
    <row r="51" spans="1:18">
      <c r="A51" s="4"/>
      <c r="B51" s="6" t="s">
        <v>378</v>
      </c>
      <c r="C51" s="6"/>
      <c r="D51" s="7"/>
      <c r="E51" s="7"/>
      <c r="F51" s="7"/>
      <c r="G51" s="7"/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8">
        <v>1</v>
      </c>
    </row>
    <row r="52" spans="1:18">
      <c r="A52" s="4"/>
      <c r="B52" s="6" t="s">
        <v>379</v>
      </c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12.7</v>
      </c>
      <c r="R52" s="8">
        <v>12.7</v>
      </c>
    </row>
    <row r="53" spans="1:18">
      <c r="A53" s="4"/>
      <c r="B53" s="6" t="s">
        <v>380</v>
      </c>
      <c r="C53" s="6"/>
      <c r="D53" s="7"/>
      <c r="E53" s="7"/>
      <c r="F53" s="7">
        <v>0.5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381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v>1</v>
      </c>
      <c r="O54" s="7"/>
      <c r="P54" s="7"/>
      <c r="Q54" s="7"/>
      <c r="R54" s="8">
        <v>1</v>
      </c>
    </row>
    <row r="55" spans="1:18">
      <c r="A55" s="4"/>
      <c r="B55" s="6" t="s">
        <v>382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383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  <c r="R56" s="8">
        <v>3</v>
      </c>
    </row>
    <row r="57" spans="1:18">
      <c r="A57" s="4"/>
      <c r="B57" s="6" t="s">
        <v>384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8">
        <v>1</v>
      </c>
    </row>
    <row r="58" spans="1:18">
      <c r="A58" s="4"/>
      <c r="B58" s="6" t="s">
        <v>385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v>2</v>
      </c>
      <c r="O58" s="7"/>
      <c r="P58" s="7"/>
      <c r="Q58" s="7"/>
      <c r="R58" s="8">
        <v>2</v>
      </c>
    </row>
    <row r="59" spans="1:18">
      <c r="A59" s="4"/>
      <c r="B59" s="6" t="s">
        <v>348</v>
      </c>
      <c r="C59" s="6"/>
      <c r="D59" s="7"/>
      <c r="E59" s="7"/>
      <c r="F59" s="7"/>
      <c r="G59" s="7"/>
      <c r="H59" s="7"/>
      <c r="I59" s="7"/>
      <c r="J59" s="7"/>
      <c r="K59" s="7">
        <v>1.5</v>
      </c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5" t="s">
        <v>386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1</v>
      </c>
    </row>
    <row r="61" spans="1:18">
      <c r="A61" s="4"/>
      <c r="B61" s="6" t="s">
        <v>387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</v>
      </c>
      <c r="P61" s="7"/>
      <c r="Q61" s="7"/>
      <c r="R61" s="8">
        <v>1</v>
      </c>
    </row>
    <row r="62" spans="1:18">
      <c r="A62" s="4"/>
      <c r="B62" s="6" t="s">
        <v>388</v>
      </c>
      <c r="C62" s="6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8">
        <v>1</v>
      </c>
    </row>
    <row r="63" spans="1:18">
      <c r="A63" s="4"/>
      <c r="B63" s="6" t="s">
        <v>389</v>
      </c>
      <c r="C63" s="6"/>
      <c r="D63" s="7"/>
      <c r="E63" s="7"/>
      <c r="F63" s="7"/>
      <c r="G63" s="7"/>
      <c r="H63" s="7"/>
      <c r="I63" s="7"/>
      <c r="J63" s="7"/>
      <c r="K63" s="7">
        <v>18</v>
      </c>
      <c r="L63" s="7"/>
      <c r="M63" s="7"/>
      <c r="N63" s="7"/>
      <c r="O63" s="7"/>
      <c r="P63" s="7"/>
      <c r="Q63" s="7"/>
      <c r="R63" s="8">
        <v>18</v>
      </c>
    </row>
    <row r="64" spans="1:18">
      <c r="A64" s="4"/>
      <c r="B64" s="6" t="s">
        <v>390</v>
      </c>
      <c r="C64" s="6"/>
      <c r="D64" s="7"/>
      <c r="E64" s="7"/>
      <c r="F64" s="7"/>
      <c r="G64" s="7"/>
      <c r="H64" s="7"/>
      <c r="I64" s="7"/>
      <c r="J64" s="7"/>
      <c r="K64" s="7">
        <v>2</v>
      </c>
      <c r="L64" s="7"/>
      <c r="M64" s="7"/>
      <c r="N64" s="7"/>
      <c r="O64" s="7"/>
      <c r="P64" s="7"/>
      <c r="Q64" s="7"/>
      <c r="R64" s="8">
        <v>2</v>
      </c>
    </row>
    <row r="65" spans="1:18">
      <c r="A65" s="4"/>
      <c r="B65" s="6" t="s">
        <v>315</v>
      </c>
      <c r="C65" s="6"/>
      <c r="D65" s="7"/>
      <c r="E65" s="7"/>
      <c r="F65" s="7">
        <v>6</v>
      </c>
      <c r="G65" s="7">
        <v>11</v>
      </c>
      <c r="H65" s="7">
        <v>16</v>
      </c>
      <c r="I65" s="7">
        <v>1</v>
      </c>
      <c r="J65" s="7"/>
      <c r="K65" s="7"/>
      <c r="L65" s="7"/>
      <c r="M65" s="7"/>
      <c r="N65" s="7"/>
      <c r="O65" s="7">
        <v>1</v>
      </c>
      <c r="P65" s="7"/>
      <c r="Q65" s="7"/>
      <c r="R65" s="8">
        <v>35</v>
      </c>
    </row>
    <row r="66" spans="1:18">
      <c r="A66" s="4"/>
      <c r="B66" s="6" t="s">
        <v>391</v>
      </c>
      <c r="C66" s="6"/>
      <c r="D66" s="7"/>
      <c r="E66" s="7"/>
      <c r="F66" s="7"/>
      <c r="G66" s="7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v>1</v>
      </c>
    </row>
    <row r="67" spans="1:18">
      <c r="A67" s="4"/>
      <c r="B67" s="6" t="s">
        <v>392</v>
      </c>
      <c r="C67" s="6"/>
      <c r="D67" s="7"/>
      <c r="E67" s="7"/>
      <c r="F67" s="7"/>
      <c r="G67" s="7">
        <v>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v>3</v>
      </c>
    </row>
    <row r="68" spans="1:18">
      <c r="A68" s="4"/>
      <c r="B68" s="6" t="s">
        <v>393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2</v>
      </c>
      <c r="O68" s="7"/>
      <c r="P68" s="7"/>
      <c r="Q68" s="7"/>
      <c r="R68" s="8">
        <v>2</v>
      </c>
    </row>
    <row r="69" spans="1:18">
      <c r="A69" s="4"/>
      <c r="B69" s="6" t="s">
        <v>394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1</v>
      </c>
    </row>
    <row r="70" spans="1:18">
      <c r="A70" s="9" t="s">
        <v>18</v>
      </c>
      <c r="B70" s="10"/>
      <c r="C70" s="9">
        <v>297.2</v>
      </c>
      <c r="D70" s="11">
        <v>19.5</v>
      </c>
      <c r="E70" s="11">
        <v>0.65</v>
      </c>
      <c r="F70" s="11">
        <v>40.200000000000003</v>
      </c>
      <c r="G70" s="11">
        <v>69</v>
      </c>
      <c r="H70" s="11">
        <v>174</v>
      </c>
      <c r="I70" s="11">
        <v>15.5</v>
      </c>
      <c r="J70" s="11">
        <v>1</v>
      </c>
      <c r="K70" s="11">
        <v>24.5</v>
      </c>
      <c r="L70" s="11">
        <v>6</v>
      </c>
      <c r="M70" s="11">
        <v>14.2</v>
      </c>
      <c r="N70" s="11">
        <v>32</v>
      </c>
      <c r="O70" s="11">
        <v>8</v>
      </c>
      <c r="P70" s="11">
        <v>6.25</v>
      </c>
      <c r="Q70" s="11">
        <v>50.7</v>
      </c>
      <c r="R70" s="12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395</v>
      </c>
      <c r="B2" s="1" t="s">
        <v>396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397</v>
      </c>
      <c r="C3" s="6"/>
      <c r="D3" s="7"/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>
        <v>1</v>
      </c>
    </row>
    <row r="4" spans="1:18">
      <c r="A4" s="4"/>
      <c r="B4" s="6" t="s">
        <v>398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/>
      <c r="Q4" s="7"/>
      <c r="R4" s="8">
        <v>1</v>
      </c>
    </row>
    <row r="5" spans="1:18">
      <c r="A5" s="4"/>
      <c r="B5" s="6" t="s">
        <v>399</v>
      </c>
      <c r="C5" s="6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400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8">
        <v>1</v>
      </c>
    </row>
    <row r="7" spans="1:18">
      <c r="A7" s="4"/>
      <c r="B7" s="6" t="s">
        <v>401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v>3</v>
      </c>
      <c r="O7" s="7"/>
      <c r="P7" s="7"/>
      <c r="Q7" s="7"/>
      <c r="R7" s="8">
        <v>3</v>
      </c>
    </row>
    <row r="8" spans="1:18">
      <c r="A8" s="4"/>
      <c r="B8" s="6" t="s">
        <v>402</v>
      </c>
      <c r="C8" s="6"/>
      <c r="D8" s="7"/>
      <c r="E8" s="7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4</v>
      </c>
    </row>
    <row r="9" spans="1:18">
      <c r="A9" s="4"/>
      <c r="B9" s="6" t="s">
        <v>403</v>
      </c>
      <c r="C9" s="6"/>
      <c r="D9" s="7"/>
      <c r="E9" s="7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v>4</v>
      </c>
    </row>
    <row r="10" spans="1:18">
      <c r="A10" s="4"/>
      <c r="B10" s="6" t="s">
        <v>404</v>
      </c>
      <c r="C10" s="6"/>
      <c r="D10" s="7"/>
      <c r="E10" s="7">
        <v>5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8">
        <v>6</v>
      </c>
    </row>
    <row r="11" spans="1:18">
      <c r="A11" s="4"/>
      <c r="B11" s="6" t="s">
        <v>405</v>
      </c>
      <c r="C11" s="6"/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</v>
      </c>
    </row>
    <row r="12" spans="1:18">
      <c r="A12" s="4"/>
      <c r="B12" s="6" t="s">
        <v>406</v>
      </c>
      <c r="C12" s="6"/>
      <c r="D12" s="7"/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v>1</v>
      </c>
    </row>
    <row r="13" spans="1:18">
      <c r="A13" s="4"/>
      <c r="B13" s="6" t="s">
        <v>407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v>1</v>
      </c>
      <c r="O13" s="7"/>
      <c r="P13" s="7"/>
      <c r="Q13" s="7"/>
      <c r="R13" s="8">
        <v>1</v>
      </c>
    </row>
    <row r="14" spans="1:18">
      <c r="A14" s="4"/>
      <c r="B14" s="6" t="s">
        <v>408</v>
      </c>
      <c r="C14" s="6"/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v>1</v>
      </c>
    </row>
    <row r="15" spans="1:18">
      <c r="A15" s="4"/>
      <c r="B15" s="6" t="s">
        <v>409</v>
      </c>
      <c r="C15" s="6"/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v>1</v>
      </c>
    </row>
    <row r="16" spans="1:18">
      <c r="A16" s="4"/>
      <c r="B16" s="6" t="s">
        <v>410</v>
      </c>
      <c r="C16" s="6"/>
      <c r="D16" s="7"/>
      <c r="E16" s="7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v>3</v>
      </c>
    </row>
    <row r="17" spans="1:18">
      <c r="A17" s="4"/>
      <c r="B17" s="6" t="s">
        <v>411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8">
        <v>1</v>
      </c>
    </row>
    <row r="18" spans="1:18">
      <c r="A18" s="4"/>
      <c r="B18" s="6" t="s">
        <v>412</v>
      </c>
      <c r="C18" s="6"/>
      <c r="D18" s="7"/>
      <c r="E18" s="7">
        <v>0.3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v>0.3</v>
      </c>
    </row>
    <row r="19" spans="1:18">
      <c r="A19" s="4"/>
      <c r="B19" s="6" t="s">
        <v>413</v>
      </c>
      <c r="C19" s="6"/>
      <c r="D19" s="7"/>
      <c r="E19" s="7"/>
      <c r="F19" s="7"/>
      <c r="G19" s="7"/>
      <c r="H19" s="7">
        <v>3</v>
      </c>
      <c r="I19" s="7"/>
      <c r="J19" s="7"/>
      <c r="K19" s="7"/>
      <c r="L19" s="7"/>
      <c r="M19" s="7"/>
      <c r="N19" s="7"/>
      <c r="O19" s="7"/>
      <c r="P19" s="7"/>
      <c r="Q19" s="7"/>
      <c r="R19" s="8">
        <v>3</v>
      </c>
    </row>
    <row r="20" spans="1:18">
      <c r="A20" s="4"/>
      <c r="B20" s="6" t="s">
        <v>414</v>
      </c>
      <c r="C20" s="6"/>
      <c r="D20" s="7"/>
      <c r="E20" s="7"/>
      <c r="F20" s="7"/>
      <c r="G20" s="7"/>
      <c r="H20" s="7">
        <v>2</v>
      </c>
      <c r="I20" s="7"/>
      <c r="J20" s="7"/>
      <c r="K20" s="7"/>
      <c r="L20" s="7"/>
      <c r="M20" s="7"/>
      <c r="N20" s="7"/>
      <c r="O20" s="7"/>
      <c r="P20" s="7"/>
      <c r="Q20" s="7"/>
      <c r="R20" s="8">
        <v>2</v>
      </c>
    </row>
    <row r="21" spans="1:18">
      <c r="A21" s="4"/>
      <c r="B21" s="6" t="s">
        <v>415</v>
      </c>
      <c r="C21" s="6"/>
      <c r="D21" s="7"/>
      <c r="E21" s="7"/>
      <c r="F21" s="7"/>
      <c r="G21" s="7"/>
      <c r="H21" s="7">
        <v>6</v>
      </c>
      <c r="I21" s="7"/>
      <c r="J21" s="7"/>
      <c r="K21" s="7"/>
      <c r="L21" s="7"/>
      <c r="M21" s="7"/>
      <c r="N21" s="7"/>
      <c r="O21" s="7"/>
      <c r="P21" s="7"/>
      <c r="Q21" s="7"/>
      <c r="R21" s="8">
        <v>6</v>
      </c>
    </row>
    <row r="22" spans="1:18">
      <c r="A22" s="4"/>
      <c r="B22" s="6" t="s">
        <v>416</v>
      </c>
      <c r="C22" s="6"/>
      <c r="D22" s="7"/>
      <c r="E22" s="7"/>
      <c r="F22" s="7"/>
      <c r="G22" s="7"/>
      <c r="H22" s="7">
        <v>15.25</v>
      </c>
      <c r="I22" s="7"/>
      <c r="J22" s="7">
        <v>1</v>
      </c>
      <c r="K22" s="7"/>
      <c r="L22" s="7"/>
      <c r="M22" s="7"/>
      <c r="N22" s="7"/>
      <c r="O22" s="7"/>
      <c r="P22" s="7"/>
      <c r="Q22" s="7"/>
      <c r="R22" s="8">
        <v>16.25</v>
      </c>
    </row>
    <row r="23" spans="1:18">
      <c r="A23" s="4"/>
      <c r="B23" s="6" t="s">
        <v>417</v>
      </c>
      <c r="C23" s="6">
        <v>6</v>
      </c>
      <c r="D23" s="7">
        <v>1</v>
      </c>
      <c r="E23" s="7"/>
      <c r="F23" s="7">
        <v>1</v>
      </c>
      <c r="G23" s="7"/>
      <c r="H23" s="7">
        <v>1</v>
      </c>
      <c r="I23" s="7">
        <v>1</v>
      </c>
      <c r="J23" s="7"/>
      <c r="K23" s="7">
        <v>2</v>
      </c>
      <c r="L23" s="7"/>
      <c r="M23" s="7"/>
      <c r="N23" s="7"/>
      <c r="O23" s="7">
        <v>3.25</v>
      </c>
      <c r="P23" s="7">
        <v>3</v>
      </c>
      <c r="Q23" s="7">
        <v>0.5</v>
      </c>
      <c r="R23" s="8">
        <v>18.75</v>
      </c>
    </row>
    <row r="24" spans="1:18">
      <c r="A24" s="4"/>
      <c r="B24" s="6" t="s">
        <v>418</v>
      </c>
      <c r="C24" s="6">
        <v>3</v>
      </c>
      <c r="D24" s="7"/>
      <c r="E24" s="7"/>
      <c r="F24" s="7"/>
      <c r="G24" s="7"/>
      <c r="H24" s="7">
        <v>5</v>
      </c>
      <c r="I24" s="7"/>
      <c r="J24" s="7"/>
      <c r="K24" s="7">
        <v>1</v>
      </c>
      <c r="L24" s="7"/>
      <c r="M24" s="7">
        <v>1</v>
      </c>
      <c r="N24" s="7"/>
      <c r="O24" s="7"/>
      <c r="P24" s="7">
        <v>4</v>
      </c>
      <c r="Q24" s="7"/>
      <c r="R24" s="8">
        <v>14</v>
      </c>
    </row>
    <row r="25" spans="1:18">
      <c r="A25" s="4"/>
      <c r="B25" s="6" t="s">
        <v>419</v>
      </c>
      <c r="C25" s="6">
        <v>1</v>
      </c>
      <c r="D25" s="7"/>
      <c r="E25" s="7"/>
      <c r="F25" s="7"/>
      <c r="G25" s="7"/>
      <c r="H25" s="7">
        <v>4</v>
      </c>
      <c r="I25" s="7"/>
      <c r="J25" s="7">
        <v>2</v>
      </c>
      <c r="K25" s="7"/>
      <c r="L25" s="7"/>
      <c r="M25" s="7"/>
      <c r="N25" s="7"/>
      <c r="O25" s="7">
        <v>1</v>
      </c>
      <c r="P25" s="7"/>
      <c r="Q25" s="7"/>
      <c r="R25" s="8">
        <v>8</v>
      </c>
    </row>
    <row r="26" spans="1:18">
      <c r="A26" s="4"/>
      <c r="B26" s="6" t="s">
        <v>420</v>
      </c>
      <c r="C26" s="6"/>
      <c r="D26" s="7"/>
      <c r="E26" s="7"/>
      <c r="F26" s="7"/>
      <c r="G26" s="7"/>
      <c r="H26" s="7">
        <v>4</v>
      </c>
      <c r="I26" s="7"/>
      <c r="J26" s="7"/>
      <c r="K26" s="7"/>
      <c r="L26" s="7"/>
      <c r="M26" s="7"/>
      <c r="N26" s="7"/>
      <c r="O26" s="7"/>
      <c r="P26" s="7"/>
      <c r="Q26" s="7"/>
      <c r="R26" s="8">
        <v>4</v>
      </c>
    </row>
    <row r="27" spans="1:18">
      <c r="A27" s="4"/>
      <c r="B27" s="5" t="s">
        <v>421</v>
      </c>
      <c r="C27" s="6">
        <v>47</v>
      </c>
      <c r="D27" s="7">
        <v>13</v>
      </c>
      <c r="E27" s="7"/>
      <c r="F27" s="7"/>
      <c r="G27" s="7"/>
      <c r="H27" s="7"/>
      <c r="I27" s="7">
        <v>2</v>
      </c>
      <c r="J27" s="7"/>
      <c r="K27" s="7">
        <v>6</v>
      </c>
      <c r="L27" s="7"/>
      <c r="M27" s="7">
        <v>3</v>
      </c>
      <c r="N27" s="7"/>
      <c r="O27" s="7">
        <v>9</v>
      </c>
      <c r="P27" s="7"/>
      <c r="Q27" s="7"/>
      <c r="R27" s="8">
        <v>80</v>
      </c>
    </row>
    <row r="28" spans="1:18">
      <c r="A28" s="4"/>
      <c r="B28" s="6" t="s">
        <v>422</v>
      </c>
      <c r="C28" s="6">
        <v>32</v>
      </c>
      <c r="D28" s="7"/>
      <c r="E28" s="7"/>
      <c r="F28" s="7"/>
      <c r="G28" s="7"/>
      <c r="H28" s="7">
        <v>31.3</v>
      </c>
      <c r="I28" s="7"/>
      <c r="J28" s="7">
        <v>1</v>
      </c>
      <c r="K28" s="7"/>
      <c r="L28" s="7"/>
      <c r="M28" s="7">
        <v>1</v>
      </c>
      <c r="N28" s="7"/>
      <c r="O28" s="7">
        <v>2</v>
      </c>
      <c r="P28" s="7"/>
      <c r="Q28" s="7"/>
      <c r="R28" s="8">
        <v>67.3</v>
      </c>
    </row>
    <row r="29" spans="1:18">
      <c r="A29" s="4"/>
      <c r="B29" s="6" t="s">
        <v>423</v>
      </c>
      <c r="C29" s="6">
        <v>42</v>
      </c>
      <c r="D29" s="7"/>
      <c r="E29" s="7"/>
      <c r="F29" s="7"/>
      <c r="G29" s="7"/>
      <c r="H29" s="7">
        <v>47.25</v>
      </c>
      <c r="I29" s="7"/>
      <c r="J29" s="7"/>
      <c r="K29" s="7"/>
      <c r="L29" s="7"/>
      <c r="M29" s="7">
        <v>1</v>
      </c>
      <c r="N29" s="7"/>
      <c r="O29" s="7">
        <v>3</v>
      </c>
      <c r="P29" s="7"/>
      <c r="Q29" s="7"/>
      <c r="R29" s="8">
        <v>93.25</v>
      </c>
    </row>
    <row r="30" spans="1:18">
      <c r="A30" s="4"/>
      <c r="B30" s="6" t="s">
        <v>424</v>
      </c>
      <c r="C30" s="6"/>
      <c r="D30" s="7"/>
      <c r="E30" s="7"/>
      <c r="F30" s="7"/>
      <c r="G30" s="7"/>
      <c r="H30" s="7">
        <v>45</v>
      </c>
      <c r="I30" s="7"/>
      <c r="J30" s="7"/>
      <c r="K30" s="7"/>
      <c r="L30" s="7"/>
      <c r="M30" s="7">
        <v>1</v>
      </c>
      <c r="N30" s="7"/>
      <c r="O30" s="7"/>
      <c r="P30" s="7"/>
      <c r="Q30" s="7"/>
      <c r="R30" s="8">
        <v>46</v>
      </c>
    </row>
    <row r="31" spans="1:18">
      <c r="A31" s="4"/>
      <c r="B31" s="6" t="s">
        <v>425</v>
      </c>
      <c r="C31" s="6"/>
      <c r="D31" s="7"/>
      <c r="E31" s="7"/>
      <c r="F31" s="7"/>
      <c r="G31" s="7"/>
      <c r="H31" s="7">
        <v>0.25</v>
      </c>
      <c r="I31" s="7"/>
      <c r="J31" s="7"/>
      <c r="K31" s="7"/>
      <c r="L31" s="7"/>
      <c r="M31" s="7"/>
      <c r="N31" s="7">
        <v>1</v>
      </c>
      <c r="O31" s="7">
        <v>2</v>
      </c>
      <c r="P31" s="7"/>
      <c r="Q31" s="7"/>
      <c r="R31" s="8">
        <v>3.25</v>
      </c>
    </row>
    <row r="32" spans="1:18">
      <c r="A32" s="4"/>
      <c r="B32" s="6" t="s">
        <v>426</v>
      </c>
      <c r="C32" s="6"/>
      <c r="D32" s="7"/>
      <c r="E32" s="7"/>
      <c r="F32" s="7"/>
      <c r="G32" s="7"/>
      <c r="H32" s="7">
        <v>2</v>
      </c>
      <c r="I32" s="7"/>
      <c r="J32" s="7"/>
      <c r="K32" s="7"/>
      <c r="L32" s="7"/>
      <c r="M32" s="7"/>
      <c r="N32" s="7"/>
      <c r="O32" s="7"/>
      <c r="P32" s="7"/>
      <c r="Q32" s="7"/>
      <c r="R32" s="8">
        <v>2</v>
      </c>
    </row>
    <row r="33" spans="1:18">
      <c r="A33" s="4"/>
      <c r="B33" s="6" t="s">
        <v>427</v>
      </c>
      <c r="C33" s="6"/>
      <c r="D33" s="7"/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1</v>
      </c>
    </row>
    <row r="34" spans="1:18">
      <c r="A34" s="4"/>
      <c r="B34" s="6" t="s">
        <v>428</v>
      </c>
      <c r="C34" s="6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2</v>
      </c>
    </row>
    <row r="35" spans="1:18">
      <c r="A35" s="4"/>
      <c r="B35" s="6" t="s">
        <v>429</v>
      </c>
      <c r="C35" s="6"/>
      <c r="D35" s="7"/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</v>
      </c>
    </row>
    <row r="36" spans="1:18">
      <c r="A36" s="4"/>
      <c r="B36" s="6" t="s">
        <v>430</v>
      </c>
      <c r="C36" s="6"/>
      <c r="D36" s="7"/>
      <c r="E36" s="7"/>
      <c r="F36" s="7"/>
      <c r="G36" s="7"/>
      <c r="H36" s="7"/>
      <c r="I36" s="7"/>
      <c r="J36" s="7"/>
      <c r="K36" s="7">
        <v>1</v>
      </c>
      <c r="L36" s="7"/>
      <c r="M36" s="7"/>
      <c r="N36" s="7"/>
      <c r="O36" s="7"/>
      <c r="P36" s="7"/>
      <c r="Q36" s="7"/>
      <c r="R36" s="8">
        <v>1</v>
      </c>
    </row>
    <row r="37" spans="1:18">
      <c r="A37" s="4"/>
      <c r="B37" s="6" t="s">
        <v>431</v>
      </c>
      <c r="C37" s="6"/>
      <c r="D37" s="7"/>
      <c r="E37" s="7"/>
      <c r="F37" s="7"/>
      <c r="G37" s="7"/>
      <c r="H37" s="7">
        <v>1.5</v>
      </c>
      <c r="I37" s="7"/>
      <c r="J37" s="7"/>
      <c r="K37" s="7"/>
      <c r="L37" s="7"/>
      <c r="M37" s="7"/>
      <c r="N37" s="7"/>
      <c r="O37" s="7"/>
      <c r="P37" s="7"/>
      <c r="Q37" s="7"/>
      <c r="R37" s="8">
        <v>1.5</v>
      </c>
    </row>
    <row r="38" spans="1:18">
      <c r="A38" s="4"/>
      <c r="B38" s="6" t="s">
        <v>432</v>
      </c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1</v>
      </c>
      <c r="P38" s="7"/>
      <c r="Q38" s="7"/>
      <c r="R38" s="8">
        <v>1</v>
      </c>
    </row>
    <row r="39" spans="1:18">
      <c r="A39" s="4"/>
      <c r="B39" s="6" t="s">
        <v>433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>
        <v>1</v>
      </c>
      <c r="N39" s="7"/>
      <c r="O39" s="7"/>
      <c r="P39" s="7"/>
      <c r="Q39" s="7"/>
      <c r="R39" s="8">
        <v>1</v>
      </c>
    </row>
    <row r="40" spans="1:18">
      <c r="A40" s="4"/>
      <c r="B40" s="6" t="s">
        <v>434</v>
      </c>
      <c r="C40" s="6">
        <v>2</v>
      </c>
      <c r="D40" s="7"/>
      <c r="E40" s="7"/>
      <c r="F40" s="7"/>
      <c r="G40" s="7"/>
      <c r="H40" s="7">
        <v>3</v>
      </c>
      <c r="I40" s="7"/>
      <c r="J40" s="7"/>
      <c r="K40" s="7"/>
      <c r="L40" s="7"/>
      <c r="M40" s="7"/>
      <c r="N40" s="7"/>
      <c r="O40" s="7"/>
      <c r="P40" s="7"/>
      <c r="Q40" s="7"/>
      <c r="R40" s="8">
        <v>5</v>
      </c>
    </row>
    <row r="41" spans="1:18">
      <c r="A41" s="4"/>
      <c r="B41" s="6" t="s">
        <v>435</v>
      </c>
      <c r="C41" s="6"/>
      <c r="D41" s="7"/>
      <c r="E41" s="7"/>
      <c r="F41" s="7"/>
      <c r="G41" s="7">
        <v>8</v>
      </c>
      <c r="H41" s="7">
        <v>1</v>
      </c>
      <c r="I41" s="7"/>
      <c r="J41" s="7"/>
      <c r="K41" s="7"/>
      <c r="L41" s="7"/>
      <c r="M41" s="7"/>
      <c r="N41" s="7"/>
      <c r="O41" s="7"/>
      <c r="P41" s="7"/>
      <c r="Q41" s="7"/>
      <c r="R41" s="8">
        <v>9</v>
      </c>
    </row>
    <row r="42" spans="1:18">
      <c r="A42" s="4"/>
      <c r="B42" s="6" t="s">
        <v>436</v>
      </c>
      <c r="C42" s="6"/>
      <c r="D42" s="7"/>
      <c r="E42" s="7"/>
      <c r="F42" s="7"/>
      <c r="G42" s="7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437</v>
      </c>
      <c r="C43" s="6">
        <v>1</v>
      </c>
      <c r="D43" s="7"/>
      <c r="E43" s="7"/>
      <c r="F43" s="7"/>
      <c r="G43" s="7"/>
      <c r="H43" s="7">
        <v>1</v>
      </c>
      <c r="I43" s="7"/>
      <c r="J43" s="7"/>
      <c r="K43" s="7"/>
      <c r="L43" s="7"/>
      <c r="M43" s="7"/>
      <c r="N43" s="7"/>
      <c r="O43" s="7"/>
      <c r="P43" s="7"/>
      <c r="Q43" s="7"/>
      <c r="R43" s="8">
        <v>2</v>
      </c>
    </row>
    <row r="44" spans="1:18">
      <c r="A44" s="4"/>
      <c r="B44" s="6" t="s">
        <v>438</v>
      </c>
      <c r="C44" s="6"/>
      <c r="D44" s="7"/>
      <c r="E44" s="7"/>
      <c r="F44" s="7"/>
      <c r="G44" s="7">
        <v>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9</v>
      </c>
    </row>
    <row r="45" spans="1:18">
      <c r="A45" s="4"/>
      <c r="B45" s="6" t="s">
        <v>439</v>
      </c>
      <c r="C45" s="6">
        <v>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</v>
      </c>
    </row>
    <row r="46" spans="1:18">
      <c r="A46" s="4"/>
      <c r="B46" s="6" t="s">
        <v>440</v>
      </c>
      <c r="C46" s="6">
        <v>1</v>
      </c>
      <c r="D46" s="7"/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8">
        <v>2</v>
      </c>
    </row>
    <row r="47" spans="1:18">
      <c r="A47" s="4"/>
      <c r="B47" s="6" t="s">
        <v>441</v>
      </c>
      <c r="C47" s="6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v>1</v>
      </c>
    </row>
    <row r="48" spans="1:18">
      <c r="A48" s="4"/>
      <c r="B48" s="6" t="s">
        <v>442</v>
      </c>
      <c r="C48" s="6">
        <v>3</v>
      </c>
      <c r="D48" s="7">
        <v>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v>9</v>
      </c>
    </row>
    <row r="49" spans="1:18">
      <c r="A49" s="4"/>
      <c r="B49" s="6" t="s">
        <v>443</v>
      </c>
      <c r="C49" s="6"/>
      <c r="D49" s="7">
        <v>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v>3</v>
      </c>
    </row>
    <row r="50" spans="1:18">
      <c r="A50" s="4"/>
      <c r="B50" s="6" t="s">
        <v>444</v>
      </c>
      <c r="C50" s="6">
        <v>2.5</v>
      </c>
      <c r="D50" s="7"/>
      <c r="E50" s="7"/>
      <c r="F50" s="7"/>
      <c r="G50" s="7"/>
      <c r="H50" s="7">
        <v>1</v>
      </c>
      <c r="I50" s="7"/>
      <c r="J50" s="7"/>
      <c r="K50" s="7"/>
      <c r="L50" s="7"/>
      <c r="M50" s="7"/>
      <c r="N50" s="7"/>
      <c r="O50" s="7"/>
      <c r="P50" s="7"/>
      <c r="Q50" s="7"/>
      <c r="R50" s="8">
        <v>3.5</v>
      </c>
    </row>
    <row r="51" spans="1:18">
      <c r="A51" s="4"/>
      <c r="B51" s="6" t="s">
        <v>445</v>
      </c>
      <c r="C51" s="6"/>
      <c r="D51" s="7">
        <v>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v>2</v>
      </c>
    </row>
    <row r="52" spans="1:18">
      <c r="A52" s="4"/>
      <c r="B52" s="6" t="s">
        <v>446</v>
      </c>
      <c r="C52" s="6"/>
      <c r="D52" s="7"/>
      <c r="E52" s="7">
        <v>0.25</v>
      </c>
      <c r="F52" s="7"/>
      <c r="G52" s="7"/>
      <c r="H52" s="7"/>
      <c r="I52" s="7"/>
      <c r="J52" s="7"/>
      <c r="K52" s="7"/>
      <c r="L52" s="7"/>
      <c r="M52" s="7"/>
      <c r="N52" s="7">
        <v>0.75</v>
      </c>
      <c r="O52" s="7"/>
      <c r="P52" s="7"/>
      <c r="Q52" s="7"/>
      <c r="R52" s="8">
        <v>1</v>
      </c>
    </row>
    <row r="53" spans="1:18">
      <c r="A53" s="4"/>
      <c r="B53" s="6" t="s">
        <v>447</v>
      </c>
      <c r="C53" s="6">
        <v>3</v>
      </c>
      <c r="D53" s="7"/>
      <c r="E53" s="7"/>
      <c r="F53" s="7"/>
      <c r="G53" s="7">
        <v>1</v>
      </c>
      <c r="H53" s="7">
        <v>1</v>
      </c>
      <c r="I53" s="7"/>
      <c r="J53" s="7"/>
      <c r="K53" s="7"/>
      <c r="L53" s="7"/>
      <c r="M53" s="7"/>
      <c r="N53" s="7"/>
      <c r="O53" s="7"/>
      <c r="P53" s="7"/>
      <c r="Q53" s="7"/>
      <c r="R53" s="8">
        <v>5</v>
      </c>
    </row>
    <row r="54" spans="1:18">
      <c r="A54" s="4"/>
      <c r="B54" s="6" t="s">
        <v>448</v>
      </c>
      <c r="C54" s="6"/>
      <c r="D54" s="7"/>
      <c r="E54" s="7">
        <v>0.25</v>
      </c>
      <c r="F54" s="7"/>
      <c r="G54" s="7"/>
      <c r="H54" s="7"/>
      <c r="I54" s="7"/>
      <c r="J54" s="7"/>
      <c r="K54" s="7"/>
      <c r="L54" s="7"/>
      <c r="M54" s="7"/>
      <c r="N54" s="7">
        <v>0.75</v>
      </c>
      <c r="O54" s="7"/>
      <c r="P54" s="7"/>
      <c r="Q54" s="7"/>
      <c r="R54" s="8">
        <v>1</v>
      </c>
    </row>
    <row r="55" spans="1:18">
      <c r="A55" s="4"/>
      <c r="B55" s="6" t="s">
        <v>449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450</v>
      </c>
      <c r="C56" s="6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v>1</v>
      </c>
    </row>
    <row r="57" spans="1:18">
      <c r="A57" s="4"/>
      <c r="B57" s="6" t="s">
        <v>451</v>
      </c>
      <c r="C57" s="6"/>
      <c r="D57" s="7"/>
      <c r="E57" s="7">
        <v>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v>5</v>
      </c>
    </row>
    <row r="58" spans="1:18">
      <c r="A58" s="4"/>
      <c r="B58" s="6" t="s">
        <v>452</v>
      </c>
      <c r="C58" s="6"/>
      <c r="D58" s="7"/>
      <c r="E58" s="7">
        <v>0.75</v>
      </c>
      <c r="F58" s="7"/>
      <c r="G58" s="7"/>
      <c r="H58" s="7"/>
      <c r="I58" s="7"/>
      <c r="J58" s="7"/>
      <c r="K58" s="7"/>
      <c r="L58" s="7"/>
      <c r="M58" s="7"/>
      <c r="N58" s="7">
        <v>0.25</v>
      </c>
      <c r="O58" s="7"/>
      <c r="P58" s="7"/>
      <c r="Q58" s="7"/>
      <c r="R58" s="8">
        <v>1</v>
      </c>
    </row>
    <row r="59" spans="1:18">
      <c r="A59" s="4"/>
      <c r="B59" s="6" t="s">
        <v>453</v>
      </c>
      <c r="C59" s="6"/>
      <c r="D59" s="7"/>
      <c r="E59" s="7"/>
      <c r="F59" s="7"/>
      <c r="G59" s="7"/>
      <c r="H59" s="7">
        <v>1</v>
      </c>
      <c r="I59" s="7">
        <v>0.5</v>
      </c>
      <c r="J59" s="7"/>
      <c r="K59" s="7"/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6" t="s">
        <v>454</v>
      </c>
      <c r="C60" s="6">
        <v>1</v>
      </c>
      <c r="D60" s="7">
        <v>1</v>
      </c>
      <c r="E60" s="7"/>
      <c r="F60" s="7"/>
      <c r="G60" s="7"/>
      <c r="H60" s="7">
        <v>5.9</v>
      </c>
      <c r="I60" s="7"/>
      <c r="J60" s="7"/>
      <c r="K60" s="7"/>
      <c r="L60" s="7"/>
      <c r="M60" s="7"/>
      <c r="N60" s="7"/>
      <c r="O60" s="7"/>
      <c r="P60" s="7"/>
      <c r="Q60" s="7"/>
      <c r="R60" s="8">
        <v>7.9</v>
      </c>
    </row>
    <row r="61" spans="1:18">
      <c r="A61" s="4"/>
      <c r="B61" s="6" t="s">
        <v>455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456</v>
      </c>
      <c r="C62" s="6">
        <v>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3</v>
      </c>
    </row>
    <row r="63" spans="1:18">
      <c r="A63" s="4"/>
      <c r="B63" s="6" t="s">
        <v>457</v>
      </c>
      <c r="C63" s="6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8">
        <v>1</v>
      </c>
    </row>
    <row r="64" spans="1:18">
      <c r="A64" s="4"/>
      <c r="B64" s="6" t="s">
        <v>458</v>
      </c>
      <c r="C64" s="6"/>
      <c r="D64" s="7"/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/>
      <c r="R64" s="8">
        <v>1</v>
      </c>
    </row>
    <row r="65" spans="1:18">
      <c r="A65" s="4"/>
      <c r="B65" s="6" t="s">
        <v>459</v>
      </c>
      <c r="C65" s="6"/>
      <c r="D65" s="7"/>
      <c r="E65" s="7"/>
      <c r="F65" s="7"/>
      <c r="G65" s="7"/>
      <c r="H65" s="7">
        <v>2</v>
      </c>
      <c r="I65" s="7"/>
      <c r="J65" s="7"/>
      <c r="K65" s="7"/>
      <c r="L65" s="7"/>
      <c r="M65" s="7"/>
      <c r="N65" s="7"/>
      <c r="O65" s="7"/>
      <c r="P65" s="7"/>
      <c r="Q65" s="7"/>
      <c r="R65" s="8">
        <v>2</v>
      </c>
    </row>
    <row r="66" spans="1:18">
      <c r="A66" s="4"/>
      <c r="B66" s="6" t="s">
        <v>460</v>
      </c>
      <c r="C66" s="6"/>
      <c r="D66" s="7">
        <v>3</v>
      </c>
      <c r="E66" s="7"/>
      <c r="F66" s="7">
        <v>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6</v>
      </c>
      <c r="R66" s="8">
        <v>14</v>
      </c>
    </row>
    <row r="67" spans="1:18">
      <c r="A67" s="4"/>
      <c r="B67" s="6" t="s">
        <v>461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8">
        <v>1</v>
      </c>
    </row>
    <row r="68" spans="1:18">
      <c r="A68" s="4"/>
      <c r="B68" s="6" t="s">
        <v>462</v>
      </c>
      <c r="C68" s="6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1</v>
      </c>
      <c r="R68" s="8">
        <v>2</v>
      </c>
    </row>
    <row r="69" spans="1:18">
      <c r="A69" s="4"/>
      <c r="B69" s="6" t="s">
        <v>463</v>
      </c>
      <c r="C69" s="6"/>
      <c r="D69" s="7"/>
      <c r="E69" s="7"/>
      <c r="F69" s="7">
        <v>1</v>
      </c>
      <c r="G69" s="7"/>
      <c r="H69" s="7"/>
      <c r="I69" s="7"/>
      <c r="J69" s="7"/>
      <c r="K69" s="7">
        <v>1</v>
      </c>
      <c r="L69" s="7"/>
      <c r="M69" s="7"/>
      <c r="N69" s="7">
        <v>4</v>
      </c>
      <c r="O69" s="7"/>
      <c r="P69" s="7"/>
      <c r="Q69" s="7"/>
      <c r="R69" s="8">
        <v>6</v>
      </c>
    </row>
    <row r="70" spans="1:18">
      <c r="A70" s="4"/>
      <c r="B70" s="6" t="s">
        <v>464</v>
      </c>
      <c r="C70" s="6">
        <v>1</v>
      </c>
      <c r="D70" s="7"/>
      <c r="E70" s="7"/>
      <c r="F70" s="7">
        <v>3</v>
      </c>
      <c r="G70" s="7"/>
      <c r="H70" s="7">
        <v>1</v>
      </c>
      <c r="I70" s="7"/>
      <c r="J70" s="7"/>
      <c r="K70" s="7">
        <v>4</v>
      </c>
      <c r="L70" s="7"/>
      <c r="M70" s="7"/>
      <c r="N70" s="7"/>
      <c r="O70" s="7"/>
      <c r="P70" s="7"/>
      <c r="Q70" s="7"/>
      <c r="R70" s="8">
        <v>9</v>
      </c>
    </row>
    <row r="71" spans="1:18">
      <c r="A71" s="4"/>
      <c r="B71" s="6" t="s">
        <v>465</v>
      </c>
      <c r="C71" s="6">
        <v>8</v>
      </c>
      <c r="D71" s="7"/>
      <c r="E71" s="7"/>
      <c r="F71" s="7"/>
      <c r="G71" s="7"/>
      <c r="H71" s="7">
        <v>6</v>
      </c>
      <c r="I71" s="7"/>
      <c r="J71" s="7"/>
      <c r="K71" s="7"/>
      <c r="L71" s="7"/>
      <c r="M71" s="7"/>
      <c r="N71" s="7"/>
      <c r="O71" s="7"/>
      <c r="P71" s="7"/>
      <c r="Q71" s="7"/>
      <c r="R71" s="8">
        <v>14</v>
      </c>
    </row>
    <row r="72" spans="1:18">
      <c r="A72" s="4"/>
      <c r="B72" s="6" t="s">
        <v>466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>
        <v>2</v>
      </c>
      <c r="N72" s="7"/>
      <c r="O72" s="7"/>
      <c r="P72" s="7"/>
      <c r="Q72" s="7"/>
      <c r="R72" s="8">
        <v>2</v>
      </c>
    </row>
    <row r="73" spans="1:18">
      <c r="A73" s="4"/>
      <c r="B73" s="6" t="s">
        <v>467</v>
      </c>
      <c r="C73" s="6"/>
      <c r="D73" s="7"/>
      <c r="E73" s="7">
        <v>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5</v>
      </c>
    </row>
    <row r="74" spans="1:18">
      <c r="A74" s="4"/>
      <c r="B74" s="6" t="s">
        <v>468</v>
      </c>
      <c r="C74" s="6"/>
      <c r="D74" s="7"/>
      <c r="E74" s="7"/>
      <c r="F74" s="7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2</v>
      </c>
    </row>
    <row r="75" spans="1:18">
      <c r="A75" s="4"/>
      <c r="B75" s="6" t="s">
        <v>469</v>
      </c>
      <c r="C75" s="6"/>
      <c r="D75" s="7"/>
      <c r="E75" s="7"/>
      <c r="F75" s="7"/>
      <c r="G75" s="7">
        <v>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5</v>
      </c>
    </row>
    <row r="76" spans="1:18">
      <c r="A76" s="4"/>
      <c r="B76" s="6" t="s">
        <v>470</v>
      </c>
      <c r="C76" s="6">
        <v>8</v>
      </c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8">
        <v>10</v>
      </c>
    </row>
    <row r="77" spans="1:18">
      <c r="A77" s="4"/>
      <c r="B77" s="6" t="s">
        <v>471</v>
      </c>
      <c r="C77" s="6">
        <v>3</v>
      </c>
      <c r="D77" s="7"/>
      <c r="E77" s="7"/>
      <c r="F77" s="7"/>
      <c r="G77" s="7">
        <v>24</v>
      </c>
      <c r="H77" s="7">
        <v>4</v>
      </c>
      <c r="I77" s="7"/>
      <c r="J77" s="7"/>
      <c r="K77" s="7"/>
      <c r="L77" s="7"/>
      <c r="M77" s="7"/>
      <c r="N77" s="7"/>
      <c r="O77" s="7"/>
      <c r="P77" s="7"/>
      <c r="Q77" s="7"/>
      <c r="R77" s="8">
        <v>31</v>
      </c>
    </row>
    <row r="78" spans="1:18">
      <c r="A78" s="4"/>
      <c r="B78" s="6" t="s">
        <v>472</v>
      </c>
      <c r="C78" s="6"/>
      <c r="D78" s="7"/>
      <c r="E78" s="7"/>
      <c r="F78" s="7"/>
      <c r="G78" s="7"/>
      <c r="H78" s="7"/>
      <c r="I78" s="7"/>
      <c r="J78" s="7"/>
      <c r="K78" s="7">
        <v>2</v>
      </c>
      <c r="L78" s="7"/>
      <c r="M78" s="7"/>
      <c r="N78" s="7"/>
      <c r="O78" s="7"/>
      <c r="P78" s="7"/>
      <c r="Q78" s="7"/>
      <c r="R78" s="8">
        <v>2</v>
      </c>
    </row>
    <row r="79" spans="1:18">
      <c r="A79" s="4"/>
      <c r="B79" s="6" t="s">
        <v>473</v>
      </c>
      <c r="C79" s="6"/>
      <c r="D79" s="7"/>
      <c r="E79" s="7"/>
      <c r="F79" s="7"/>
      <c r="G79" s="7">
        <v>39.5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39.5</v>
      </c>
    </row>
    <row r="80" spans="1:18">
      <c r="A80" s="4"/>
      <c r="B80" s="6" t="s">
        <v>474</v>
      </c>
      <c r="C80" s="6"/>
      <c r="D80" s="7"/>
      <c r="E80" s="7"/>
      <c r="F80" s="7"/>
      <c r="G80" s="7">
        <v>252.5</v>
      </c>
      <c r="H80" s="7">
        <v>2</v>
      </c>
      <c r="I80" s="7"/>
      <c r="J80" s="7"/>
      <c r="K80" s="7"/>
      <c r="L80" s="7"/>
      <c r="M80" s="7"/>
      <c r="N80" s="7"/>
      <c r="O80" s="7">
        <v>6</v>
      </c>
      <c r="P80" s="7"/>
      <c r="Q80" s="7"/>
      <c r="R80" s="8">
        <v>260.5</v>
      </c>
    </row>
    <row r="81" spans="1:18">
      <c r="A81" s="4"/>
      <c r="B81" s="6" t="s">
        <v>475</v>
      </c>
      <c r="C81" s="6"/>
      <c r="D81" s="7"/>
      <c r="E81" s="7"/>
      <c r="F81" s="7"/>
      <c r="G81" s="7">
        <v>244</v>
      </c>
      <c r="H81" s="7">
        <v>3</v>
      </c>
      <c r="I81" s="7"/>
      <c r="J81" s="7"/>
      <c r="K81" s="7"/>
      <c r="L81" s="7"/>
      <c r="M81" s="7"/>
      <c r="N81" s="7">
        <v>8</v>
      </c>
      <c r="O81" s="7">
        <v>3</v>
      </c>
      <c r="P81" s="7"/>
      <c r="Q81" s="7"/>
      <c r="R81" s="8">
        <v>258</v>
      </c>
    </row>
    <row r="82" spans="1:18">
      <c r="A82" s="4"/>
      <c r="B82" s="6" t="s">
        <v>476</v>
      </c>
      <c r="C82" s="6">
        <v>4</v>
      </c>
      <c r="D82" s="7"/>
      <c r="E82" s="7"/>
      <c r="F82" s="7">
        <v>1</v>
      </c>
      <c r="G82" s="7"/>
      <c r="H82" s="7">
        <v>1</v>
      </c>
      <c r="I82" s="7"/>
      <c r="J82" s="7"/>
      <c r="K82" s="7">
        <v>1</v>
      </c>
      <c r="L82" s="7"/>
      <c r="M82" s="7"/>
      <c r="N82" s="7"/>
      <c r="O82" s="7"/>
      <c r="P82" s="7"/>
      <c r="Q82" s="7"/>
      <c r="R82" s="8">
        <v>7</v>
      </c>
    </row>
    <row r="83" spans="1:18">
      <c r="A83" s="4"/>
      <c r="B83" s="6" t="s">
        <v>477</v>
      </c>
      <c r="C83" s="6">
        <v>3</v>
      </c>
      <c r="D83" s="7">
        <v>2</v>
      </c>
      <c r="E83" s="7"/>
      <c r="F83" s="7"/>
      <c r="G83" s="7"/>
      <c r="H83" s="7">
        <v>3</v>
      </c>
      <c r="I83" s="7"/>
      <c r="J83" s="7">
        <v>5</v>
      </c>
      <c r="K83" s="7">
        <v>1</v>
      </c>
      <c r="L83" s="7"/>
      <c r="M83" s="7"/>
      <c r="N83" s="7"/>
      <c r="O83" s="7"/>
      <c r="P83" s="7"/>
      <c r="Q83" s="7">
        <v>2</v>
      </c>
      <c r="R83" s="8">
        <v>16</v>
      </c>
    </row>
    <row r="84" spans="1:18">
      <c r="A84" s="4"/>
      <c r="B84" s="6" t="s">
        <v>478</v>
      </c>
      <c r="C84" s="6">
        <v>8</v>
      </c>
      <c r="D84" s="7">
        <v>2</v>
      </c>
      <c r="E84" s="7"/>
      <c r="F84" s="7"/>
      <c r="G84" s="7"/>
      <c r="H84" s="7">
        <v>11</v>
      </c>
      <c r="I84" s="7"/>
      <c r="J84" s="7">
        <v>1</v>
      </c>
      <c r="K84" s="7"/>
      <c r="L84" s="7"/>
      <c r="M84" s="7"/>
      <c r="N84" s="7"/>
      <c r="O84" s="7"/>
      <c r="P84" s="7"/>
      <c r="Q84" s="7"/>
      <c r="R84" s="8">
        <v>22</v>
      </c>
    </row>
    <row r="85" spans="1:18">
      <c r="A85" s="4"/>
      <c r="B85" s="6" t="s">
        <v>479</v>
      </c>
      <c r="C85" s="6">
        <v>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1</v>
      </c>
    </row>
    <row r="86" spans="1:18">
      <c r="A86" s="4"/>
      <c r="B86" s="6" t="s">
        <v>480</v>
      </c>
      <c r="C86" s="6">
        <v>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>
        <v>2</v>
      </c>
    </row>
    <row r="87" spans="1:18">
      <c r="A87" s="4"/>
      <c r="B87" s="6" t="s">
        <v>481</v>
      </c>
      <c r="C87" s="6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>
        <v>1</v>
      </c>
    </row>
    <row r="88" spans="1:18">
      <c r="A88" s="4"/>
      <c r="B88" s="6" t="s">
        <v>482</v>
      </c>
      <c r="C88" s="6">
        <v>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>
        <v>1</v>
      </c>
    </row>
    <row r="89" spans="1:18">
      <c r="A89" s="4"/>
      <c r="B89" s="6" t="s">
        <v>483</v>
      </c>
      <c r="C89" s="6">
        <v>2</v>
      </c>
      <c r="D89" s="7"/>
      <c r="E89" s="7"/>
      <c r="F89" s="7"/>
      <c r="G89" s="7"/>
      <c r="H89" s="7">
        <v>1</v>
      </c>
      <c r="I89" s="7"/>
      <c r="J89" s="7"/>
      <c r="K89" s="7"/>
      <c r="L89" s="7"/>
      <c r="M89" s="7"/>
      <c r="N89" s="7"/>
      <c r="O89" s="7">
        <v>1</v>
      </c>
      <c r="P89" s="7"/>
      <c r="Q89" s="7"/>
      <c r="R89" s="8">
        <v>4</v>
      </c>
    </row>
    <row r="90" spans="1:18">
      <c r="A90" s="4"/>
      <c r="B90" s="6" t="s">
        <v>484</v>
      </c>
      <c r="C90" s="6">
        <v>8</v>
      </c>
      <c r="D90" s="7"/>
      <c r="E90" s="7"/>
      <c r="F90" s="7"/>
      <c r="G90" s="7"/>
      <c r="H90" s="7">
        <v>2</v>
      </c>
      <c r="I90" s="7"/>
      <c r="J90" s="7"/>
      <c r="K90" s="7"/>
      <c r="L90" s="7"/>
      <c r="M90" s="7"/>
      <c r="N90" s="7"/>
      <c r="O90" s="7"/>
      <c r="P90" s="7"/>
      <c r="Q90" s="7"/>
      <c r="R90" s="8">
        <v>10</v>
      </c>
    </row>
    <row r="91" spans="1:18">
      <c r="A91" s="4"/>
      <c r="B91" s="6" t="s">
        <v>485</v>
      </c>
      <c r="C91" s="6"/>
      <c r="D91" s="7"/>
      <c r="E91" s="7">
        <v>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1</v>
      </c>
    </row>
    <row r="92" spans="1:18">
      <c r="A92" s="4"/>
      <c r="B92" s="6" t="s">
        <v>486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8">
        <v>7</v>
      </c>
    </row>
    <row r="93" spans="1:18">
      <c r="A93" s="4"/>
      <c r="B93" s="6" t="s">
        <v>487</v>
      </c>
      <c r="C93" s="6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>
        <v>1</v>
      </c>
    </row>
    <row r="94" spans="1:18">
      <c r="A94" s="4"/>
      <c r="B94" s="6" t="s">
        <v>488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1</v>
      </c>
      <c r="O94" s="7"/>
      <c r="P94" s="7"/>
      <c r="Q94" s="7"/>
      <c r="R94" s="8">
        <v>1</v>
      </c>
    </row>
    <row r="95" spans="1:18">
      <c r="A95" s="4"/>
      <c r="B95" s="6" t="s">
        <v>489</v>
      </c>
      <c r="C95" s="6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>
        <v>1</v>
      </c>
    </row>
    <row r="96" spans="1:18">
      <c r="A96" s="4"/>
      <c r="B96" s="5" t="s">
        <v>490</v>
      </c>
      <c r="C96" s="6">
        <v>9</v>
      </c>
      <c r="D96" s="7"/>
      <c r="E96" s="7">
        <v>3</v>
      </c>
      <c r="F96" s="7"/>
      <c r="G96" s="7">
        <v>1</v>
      </c>
      <c r="H96" s="7"/>
      <c r="I96" s="7">
        <v>1</v>
      </c>
      <c r="J96" s="7"/>
      <c r="K96" s="7">
        <v>5.5</v>
      </c>
      <c r="L96" s="7"/>
      <c r="M96" s="7"/>
      <c r="N96" s="7"/>
      <c r="O96" s="7"/>
      <c r="P96" s="7"/>
      <c r="Q96" s="7">
        <v>2</v>
      </c>
      <c r="R96" s="8">
        <v>21.5</v>
      </c>
    </row>
    <row r="97" spans="1:18">
      <c r="A97" s="4"/>
      <c r="B97" s="6" t="s">
        <v>491</v>
      </c>
      <c r="C97" s="6"/>
      <c r="D97" s="7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2</v>
      </c>
    </row>
    <row r="98" spans="1:18">
      <c r="A98" s="4"/>
      <c r="B98" s="6" t="s">
        <v>492</v>
      </c>
      <c r="C98" s="6">
        <v>21</v>
      </c>
      <c r="D98" s="7"/>
      <c r="E98" s="7">
        <v>1</v>
      </c>
      <c r="F98" s="7"/>
      <c r="G98" s="7"/>
      <c r="H98" s="7">
        <v>3</v>
      </c>
      <c r="I98" s="7">
        <v>1</v>
      </c>
      <c r="J98" s="7"/>
      <c r="K98" s="7">
        <v>5</v>
      </c>
      <c r="L98" s="7"/>
      <c r="M98" s="7"/>
      <c r="N98" s="7">
        <v>1</v>
      </c>
      <c r="O98" s="7"/>
      <c r="P98" s="7"/>
      <c r="Q98" s="7">
        <v>3</v>
      </c>
      <c r="R98" s="8">
        <v>35</v>
      </c>
    </row>
    <row r="99" spans="1:18">
      <c r="A99" s="4"/>
      <c r="B99" s="5" t="s">
        <v>493</v>
      </c>
      <c r="C99" s="6">
        <v>4</v>
      </c>
      <c r="D99" s="7"/>
      <c r="E99" s="7"/>
      <c r="F99" s="7"/>
      <c r="G99" s="7"/>
      <c r="H99" s="7">
        <v>1.1000000000000001</v>
      </c>
      <c r="I99" s="7"/>
      <c r="J99" s="7">
        <v>1</v>
      </c>
      <c r="K99" s="7"/>
      <c r="L99" s="7">
        <v>1</v>
      </c>
      <c r="M99" s="7"/>
      <c r="N99" s="7"/>
      <c r="O99" s="7"/>
      <c r="P99" s="7"/>
      <c r="Q99" s="7">
        <v>1</v>
      </c>
      <c r="R99" s="8">
        <v>8.1</v>
      </c>
    </row>
    <row r="100" spans="1:18">
      <c r="A100" s="4"/>
      <c r="B100" s="6" t="s">
        <v>494</v>
      </c>
      <c r="C100" s="6">
        <v>9</v>
      </c>
      <c r="D100" s="7"/>
      <c r="E100" s="7"/>
      <c r="F100" s="7">
        <v>3</v>
      </c>
      <c r="G100" s="7"/>
      <c r="H100" s="7">
        <v>18.100000000000001</v>
      </c>
      <c r="I100" s="7">
        <v>1</v>
      </c>
      <c r="J100" s="7">
        <v>3</v>
      </c>
      <c r="K100" s="7"/>
      <c r="L100" s="7">
        <v>2</v>
      </c>
      <c r="M100" s="7"/>
      <c r="N100" s="7"/>
      <c r="O100" s="7"/>
      <c r="P100" s="7"/>
      <c r="Q100" s="7">
        <v>1</v>
      </c>
      <c r="R100" s="8">
        <v>37.1</v>
      </c>
    </row>
    <row r="101" spans="1:18">
      <c r="A101" s="4"/>
      <c r="B101" s="6" t="s">
        <v>495</v>
      </c>
      <c r="C101" s="6"/>
      <c r="D101" s="7">
        <v>4</v>
      </c>
      <c r="E101" s="7"/>
      <c r="F101" s="7"/>
      <c r="G101" s="7">
        <v>2</v>
      </c>
      <c r="H101" s="7">
        <v>3</v>
      </c>
      <c r="I101" s="7"/>
      <c r="J101" s="7"/>
      <c r="K101" s="7"/>
      <c r="L101" s="7"/>
      <c r="M101" s="7"/>
      <c r="N101" s="7"/>
      <c r="O101" s="7"/>
      <c r="P101" s="7"/>
      <c r="Q101" s="7"/>
      <c r="R101" s="8">
        <v>9</v>
      </c>
    </row>
    <row r="102" spans="1:18">
      <c r="A102" s="4"/>
      <c r="B102" s="6" t="s">
        <v>496</v>
      </c>
      <c r="C102" s="6"/>
      <c r="D102" s="7"/>
      <c r="E102" s="7">
        <v>0.25</v>
      </c>
      <c r="F102" s="7"/>
      <c r="G102" s="7"/>
      <c r="H102" s="7"/>
      <c r="I102" s="7"/>
      <c r="J102" s="7"/>
      <c r="K102" s="7"/>
      <c r="L102" s="7"/>
      <c r="M102" s="7"/>
      <c r="N102" s="7">
        <v>0.75</v>
      </c>
      <c r="O102" s="7"/>
      <c r="P102" s="7"/>
      <c r="Q102" s="7"/>
      <c r="R102" s="8">
        <v>1</v>
      </c>
    </row>
    <row r="103" spans="1:18">
      <c r="A103" s="4"/>
      <c r="B103" s="6" t="s">
        <v>497</v>
      </c>
      <c r="C103" s="6">
        <v>1</v>
      </c>
      <c r="D103" s="7"/>
      <c r="E103" s="7"/>
      <c r="F103" s="7"/>
      <c r="G103" s="7"/>
      <c r="H103" s="7">
        <v>2</v>
      </c>
      <c r="I103" s="7"/>
      <c r="J103" s="7"/>
      <c r="K103" s="7"/>
      <c r="L103" s="7"/>
      <c r="M103" s="7"/>
      <c r="N103" s="7"/>
      <c r="O103" s="7"/>
      <c r="P103" s="7"/>
      <c r="Q103" s="7"/>
      <c r="R103" s="8">
        <v>3</v>
      </c>
    </row>
    <row r="104" spans="1:18">
      <c r="A104" s="4"/>
      <c r="B104" s="6" t="s">
        <v>498</v>
      </c>
      <c r="C104" s="6"/>
      <c r="D104" s="7"/>
      <c r="E104" s="7">
        <v>0.25</v>
      </c>
      <c r="F104" s="7"/>
      <c r="G104" s="7"/>
      <c r="H104" s="7"/>
      <c r="I104" s="7"/>
      <c r="J104" s="7"/>
      <c r="K104" s="7"/>
      <c r="L104" s="7"/>
      <c r="M104" s="7"/>
      <c r="N104" s="7">
        <v>0.75</v>
      </c>
      <c r="O104" s="7"/>
      <c r="P104" s="7"/>
      <c r="Q104" s="7"/>
      <c r="R104" s="8">
        <v>1</v>
      </c>
    </row>
    <row r="105" spans="1:18">
      <c r="A105" s="4"/>
      <c r="B105" s="6" t="s">
        <v>499</v>
      </c>
      <c r="C105" s="6"/>
      <c r="D105" s="7"/>
      <c r="E105" s="7"/>
      <c r="F105" s="7"/>
      <c r="G105" s="7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>
        <v>1</v>
      </c>
    </row>
    <row r="106" spans="1:18">
      <c r="A106" s="4"/>
      <c r="B106" s="6" t="s">
        <v>500</v>
      </c>
      <c r="C106" s="6">
        <v>2</v>
      </c>
      <c r="D106" s="7"/>
      <c r="E106" s="7"/>
      <c r="F106" s="7"/>
      <c r="G106" s="7"/>
      <c r="H106" s="7"/>
      <c r="I106" s="7"/>
      <c r="J106" s="7"/>
      <c r="K106" s="7">
        <v>1</v>
      </c>
      <c r="L106" s="7"/>
      <c r="M106" s="7">
        <v>1</v>
      </c>
      <c r="N106" s="7"/>
      <c r="O106" s="7"/>
      <c r="P106" s="7"/>
      <c r="Q106" s="7"/>
      <c r="R106" s="8">
        <v>4</v>
      </c>
    </row>
    <row r="107" spans="1:18">
      <c r="A107" s="4"/>
      <c r="B107" s="6" t="s">
        <v>501</v>
      </c>
      <c r="C107" s="6"/>
      <c r="D107" s="7">
        <v>1</v>
      </c>
      <c r="E107" s="7"/>
      <c r="F107" s="7"/>
      <c r="G107" s="7"/>
      <c r="H107" s="7"/>
      <c r="I107" s="7">
        <v>2</v>
      </c>
      <c r="J107" s="7"/>
      <c r="K107" s="7"/>
      <c r="L107" s="7"/>
      <c r="M107" s="7"/>
      <c r="N107" s="7"/>
      <c r="O107" s="7">
        <v>1</v>
      </c>
      <c r="P107" s="7"/>
      <c r="Q107" s="7"/>
      <c r="R107" s="8">
        <v>4</v>
      </c>
    </row>
    <row r="108" spans="1:18">
      <c r="A108" s="4"/>
      <c r="B108" s="6" t="s">
        <v>502</v>
      </c>
      <c r="C108" s="6"/>
      <c r="D108" s="7"/>
      <c r="E108" s="7"/>
      <c r="F108" s="7"/>
      <c r="G108" s="7"/>
      <c r="H108" s="7">
        <v>40</v>
      </c>
      <c r="I108" s="7"/>
      <c r="J108" s="7">
        <v>1</v>
      </c>
      <c r="K108" s="7">
        <v>2</v>
      </c>
      <c r="L108" s="7"/>
      <c r="M108" s="7">
        <v>47</v>
      </c>
      <c r="N108" s="7"/>
      <c r="O108" s="7"/>
      <c r="P108" s="7"/>
      <c r="Q108" s="7"/>
      <c r="R108" s="8">
        <v>90</v>
      </c>
    </row>
    <row r="109" spans="1:18">
      <c r="A109" s="4"/>
      <c r="B109" s="6" t="s">
        <v>503</v>
      </c>
      <c r="C109" s="6">
        <v>24</v>
      </c>
      <c r="D109" s="7"/>
      <c r="E109" s="7"/>
      <c r="F109" s="7"/>
      <c r="G109" s="7"/>
      <c r="H109" s="7">
        <v>31</v>
      </c>
      <c r="I109" s="7"/>
      <c r="J109" s="7">
        <v>1</v>
      </c>
      <c r="K109" s="7"/>
      <c r="L109" s="7"/>
      <c r="M109" s="7"/>
      <c r="N109" s="7"/>
      <c r="O109" s="7"/>
      <c r="P109" s="7"/>
      <c r="Q109" s="7"/>
      <c r="R109" s="8">
        <v>56</v>
      </c>
    </row>
    <row r="110" spans="1:18">
      <c r="A110" s="4"/>
      <c r="B110" s="6" t="s">
        <v>504</v>
      </c>
      <c r="C110" s="6">
        <v>18</v>
      </c>
      <c r="D110" s="7"/>
      <c r="E110" s="7"/>
      <c r="F110" s="7"/>
      <c r="G110" s="7"/>
      <c r="H110" s="7">
        <v>4</v>
      </c>
      <c r="I110" s="7"/>
      <c r="J110" s="7"/>
      <c r="K110" s="7"/>
      <c r="L110" s="7"/>
      <c r="M110" s="7">
        <v>6</v>
      </c>
      <c r="N110" s="7"/>
      <c r="O110" s="7"/>
      <c r="P110" s="7"/>
      <c r="Q110" s="7"/>
      <c r="R110" s="8">
        <v>28</v>
      </c>
    </row>
    <row r="111" spans="1:18">
      <c r="A111" s="4"/>
      <c r="B111" s="6" t="s">
        <v>505</v>
      </c>
      <c r="C111" s="6">
        <v>28</v>
      </c>
      <c r="D111" s="7"/>
      <c r="E111" s="7"/>
      <c r="F111" s="7"/>
      <c r="G111" s="7"/>
      <c r="H111" s="7">
        <v>7</v>
      </c>
      <c r="I111" s="7"/>
      <c r="J111" s="7"/>
      <c r="K111" s="7"/>
      <c r="L111" s="7"/>
      <c r="M111" s="7">
        <v>3</v>
      </c>
      <c r="N111" s="7"/>
      <c r="O111" s="7"/>
      <c r="P111" s="7"/>
      <c r="Q111" s="7"/>
      <c r="R111" s="8">
        <v>38</v>
      </c>
    </row>
    <row r="112" spans="1:18">
      <c r="A112" s="4"/>
      <c r="B112" s="6" t="s">
        <v>506</v>
      </c>
      <c r="C112" s="6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/>
      <c r="O112" s="7"/>
      <c r="P112" s="7"/>
      <c r="Q112" s="7"/>
      <c r="R112" s="8">
        <v>1</v>
      </c>
    </row>
    <row r="113" spans="1:18">
      <c r="A113" s="4"/>
      <c r="B113" s="6" t="s">
        <v>507</v>
      </c>
      <c r="C113" s="6"/>
      <c r="D113" s="7"/>
      <c r="E113" s="7"/>
      <c r="F113" s="7"/>
      <c r="G113" s="7"/>
      <c r="H113" s="7">
        <v>1</v>
      </c>
      <c r="I113" s="7"/>
      <c r="J113" s="7"/>
      <c r="K113" s="7"/>
      <c r="L113" s="7"/>
      <c r="M113" s="7"/>
      <c r="N113" s="7"/>
      <c r="O113" s="7"/>
      <c r="P113" s="7"/>
      <c r="Q113" s="7"/>
      <c r="R113" s="8">
        <v>1</v>
      </c>
    </row>
    <row r="114" spans="1:18">
      <c r="A114" s="4"/>
      <c r="B114" s="6" t="s">
        <v>508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>
        <v>1</v>
      </c>
    </row>
    <row r="115" spans="1:18">
      <c r="A115" s="4"/>
      <c r="B115" s="6" t="s">
        <v>509</v>
      </c>
      <c r="C115" s="6"/>
      <c r="D115" s="7"/>
      <c r="E115" s="7"/>
      <c r="F115" s="7"/>
      <c r="G115" s="7"/>
      <c r="H115" s="7">
        <v>5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5</v>
      </c>
    </row>
    <row r="116" spans="1:18">
      <c r="A116" s="4"/>
      <c r="B116" s="6" t="s">
        <v>510</v>
      </c>
      <c r="C116" s="6"/>
      <c r="D116" s="7"/>
      <c r="E116" s="7"/>
      <c r="F116" s="7"/>
      <c r="G116" s="7"/>
      <c r="H116" s="7">
        <v>3</v>
      </c>
      <c r="I116" s="7"/>
      <c r="J116" s="7"/>
      <c r="K116" s="7"/>
      <c r="L116" s="7"/>
      <c r="M116" s="7"/>
      <c r="N116" s="7"/>
      <c r="O116" s="7"/>
      <c r="P116" s="7"/>
      <c r="Q116" s="7"/>
      <c r="R116" s="8">
        <v>3</v>
      </c>
    </row>
    <row r="117" spans="1:18">
      <c r="A117" s="4"/>
      <c r="B117" s="5" t="s">
        <v>511</v>
      </c>
      <c r="C117" s="6">
        <v>1</v>
      </c>
      <c r="D117" s="7">
        <v>1</v>
      </c>
      <c r="E117" s="7">
        <v>1</v>
      </c>
      <c r="F117" s="7"/>
      <c r="G117" s="7">
        <v>1</v>
      </c>
      <c r="H117" s="7">
        <v>4</v>
      </c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8">
        <v>9</v>
      </c>
    </row>
    <row r="118" spans="1:18">
      <c r="A118" s="4"/>
      <c r="B118" s="6" t="s">
        <v>512</v>
      </c>
      <c r="C118" s="6">
        <v>4</v>
      </c>
      <c r="D118" s="7"/>
      <c r="E118" s="7">
        <v>2</v>
      </c>
      <c r="F118" s="7">
        <v>1</v>
      </c>
      <c r="G118" s="7"/>
      <c r="H118" s="7">
        <v>4</v>
      </c>
      <c r="I118" s="7">
        <v>1</v>
      </c>
      <c r="J118" s="7"/>
      <c r="K118" s="7">
        <v>1</v>
      </c>
      <c r="L118" s="7"/>
      <c r="M118" s="7">
        <v>3</v>
      </c>
      <c r="N118" s="7"/>
      <c r="O118" s="7">
        <v>1</v>
      </c>
      <c r="P118" s="7"/>
      <c r="Q118" s="7">
        <v>1</v>
      </c>
      <c r="R118" s="8">
        <v>18</v>
      </c>
    </row>
    <row r="119" spans="1:18">
      <c r="A119" s="4"/>
      <c r="B119" s="6" t="s">
        <v>513</v>
      </c>
      <c r="C119" s="6"/>
      <c r="D119" s="7"/>
      <c r="E119" s="7"/>
      <c r="F119" s="7"/>
      <c r="G119" s="7">
        <v>0.5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>
        <v>0.5</v>
      </c>
    </row>
    <row r="120" spans="1:18">
      <c r="A120" s="4"/>
      <c r="B120" s="6" t="s">
        <v>514</v>
      </c>
      <c r="C120" s="6"/>
      <c r="D120" s="7"/>
      <c r="E120" s="7"/>
      <c r="F120" s="7"/>
      <c r="G120" s="7">
        <v>0.5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>
        <v>0.5</v>
      </c>
    </row>
    <row r="121" spans="1:18">
      <c r="A121" s="4"/>
      <c r="B121" s="6" t="s">
        <v>515</v>
      </c>
      <c r="C121" s="6">
        <v>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>
        <v>1</v>
      </c>
    </row>
    <row r="122" spans="1:18">
      <c r="A122" s="4"/>
      <c r="B122" s="6" t="s">
        <v>516</v>
      </c>
      <c r="C122" s="6">
        <v>1</v>
      </c>
      <c r="D122" s="7"/>
      <c r="E122" s="7"/>
      <c r="F122" s="7"/>
      <c r="G122" s="7"/>
      <c r="H122" s="7">
        <v>4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5</v>
      </c>
    </row>
    <row r="123" spans="1:18">
      <c r="A123" s="4"/>
      <c r="B123" s="6" t="s">
        <v>517</v>
      </c>
      <c r="C123" s="6">
        <v>4</v>
      </c>
      <c r="D123" s="7"/>
      <c r="E123" s="7"/>
      <c r="F123" s="7"/>
      <c r="G123" s="7"/>
      <c r="H123" s="7">
        <v>3</v>
      </c>
      <c r="I123" s="7"/>
      <c r="J123" s="7"/>
      <c r="K123" s="7"/>
      <c r="L123" s="7"/>
      <c r="M123" s="7"/>
      <c r="N123" s="7"/>
      <c r="O123" s="7"/>
      <c r="P123" s="7"/>
      <c r="Q123" s="7"/>
      <c r="R123" s="8">
        <v>7</v>
      </c>
    </row>
    <row r="124" spans="1:18">
      <c r="A124" s="4"/>
      <c r="B124" s="5" t="s">
        <v>518</v>
      </c>
      <c r="C124" s="6">
        <v>3</v>
      </c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/>
      <c r="O124" s="7"/>
      <c r="P124" s="7"/>
      <c r="Q124" s="7"/>
      <c r="R124" s="8">
        <v>8</v>
      </c>
    </row>
    <row r="125" spans="1:18">
      <c r="A125" s="4"/>
      <c r="B125" s="6" t="s">
        <v>519</v>
      </c>
      <c r="C125" s="6">
        <v>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3</v>
      </c>
    </row>
    <row r="126" spans="1:18">
      <c r="A126" s="4"/>
      <c r="B126" s="5" t="s">
        <v>520</v>
      </c>
      <c r="C126" s="6"/>
      <c r="D126" s="7"/>
      <c r="E126" s="7">
        <v>0.3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>
        <v>0.3</v>
      </c>
    </row>
    <row r="127" spans="1:18">
      <c r="A127" s="4"/>
      <c r="B127" s="6" t="s">
        <v>521</v>
      </c>
      <c r="C127" s="6">
        <v>15</v>
      </c>
      <c r="D127" s="7"/>
      <c r="E127" s="7"/>
      <c r="F127" s="7">
        <v>2</v>
      </c>
      <c r="G127" s="7">
        <v>1</v>
      </c>
      <c r="H127" s="7">
        <v>27</v>
      </c>
      <c r="I127" s="7"/>
      <c r="J127" s="7">
        <v>3</v>
      </c>
      <c r="K127" s="7">
        <v>1</v>
      </c>
      <c r="L127" s="7"/>
      <c r="M127" s="7"/>
      <c r="N127" s="7"/>
      <c r="O127" s="7"/>
      <c r="P127" s="7"/>
      <c r="Q127" s="7">
        <v>5</v>
      </c>
      <c r="R127" s="8">
        <v>54</v>
      </c>
    </row>
    <row r="128" spans="1:18">
      <c r="A128" s="4"/>
      <c r="B128" s="6" t="s">
        <v>522</v>
      </c>
      <c r="C128" s="6"/>
      <c r="D128" s="7"/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>
        <v>1</v>
      </c>
    </row>
    <row r="129" spans="1:18">
      <c r="A129" s="4"/>
      <c r="B129" s="6" t="s">
        <v>523</v>
      </c>
      <c r="C129" s="6">
        <v>14</v>
      </c>
      <c r="D129" s="7"/>
      <c r="E129" s="7"/>
      <c r="F129" s="7">
        <v>3</v>
      </c>
      <c r="G129" s="7">
        <v>2</v>
      </c>
      <c r="H129" s="7">
        <v>30</v>
      </c>
      <c r="I129" s="7">
        <v>2</v>
      </c>
      <c r="J129" s="7">
        <v>8</v>
      </c>
      <c r="K129" s="7">
        <v>7</v>
      </c>
      <c r="L129" s="7">
        <v>8</v>
      </c>
      <c r="M129" s="7">
        <v>2</v>
      </c>
      <c r="N129" s="7"/>
      <c r="O129" s="7"/>
      <c r="P129" s="7"/>
      <c r="Q129" s="7"/>
      <c r="R129" s="8">
        <v>76</v>
      </c>
    </row>
    <row r="130" spans="1:18">
      <c r="A130" s="4"/>
      <c r="B130" s="6" t="s">
        <v>524</v>
      </c>
      <c r="C130" s="6">
        <v>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>
        <v>2</v>
      </c>
    </row>
    <row r="131" spans="1:18">
      <c r="A131" s="4"/>
      <c r="B131" s="6" t="s">
        <v>525</v>
      </c>
      <c r="C131" s="6">
        <v>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>
        <v>3</v>
      </c>
    </row>
    <row r="132" spans="1:18">
      <c r="A132" s="4"/>
      <c r="B132" s="6" t="s">
        <v>526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v>8.4</v>
      </c>
      <c r="P132" s="7"/>
      <c r="Q132" s="7"/>
      <c r="R132" s="8">
        <v>8.4</v>
      </c>
    </row>
    <row r="133" spans="1:18">
      <c r="A133" s="4"/>
      <c r="B133" s="15"/>
      <c r="C133" s="1">
        <v>379.5</v>
      </c>
      <c r="D133" s="2">
        <v>41</v>
      </c>
      <c r="E133" s="2">
        <v>47.35</v>
      </c>
      <c r="F133" s="2">
        <v>20</v>
      </c>
      <c r="G133" s="2">
        <v>604</v>
      </c>
      <c r="H133" s="2">
        <v>418.65</v>
      </c>
      <c r="I133" s="2">
        <v>11.5</v>
      </c>
      <c r="J133" s="2">
        <v>27</v>
      </c>
      <c r="K133" s="2">
        <v>43.5</v>
      </c>
      <c r="L133" s="2">
        <v>13</v>
      </c>
      <c r="M133" s="2">
        <v>72</v>
      </c>
      <c r="N133" s="2">
        <v>26.25</v>
      </c>
      <c r="O133" s="2">
        <v>41.65</v>
      </c>
      <c r="P133" s="2">
        <v>7</v>
      </c>
      <c r="Q133" s="2">
        <v>22.5</v>
      </c>
      <c r="R133" s="3">
        <v>1774.9</v>
      </c>
    </row>
    <row r="134" spans="1:18">
      <c r="A134" s="1" t="s">
        <v>527</v>
      </c>
      <c r="B134" s="15"/>
      <c r="C134" s="1">
        <v>379.5</v>
      </c>
      <c r="D134" s="2">
        <v>41</v>
      </c>
      <c r="E134" s="2">
        <v>47.35</v>
      </c>
      <c r="F134" s="2">
        <v>20</v>
      </c>
      <c r="G134" s="2">
        <v>604</v>
      </c>
      <c r="H134" s="2">
        <v>418.65</v>
      </c>
      <c r="I134" s="2">
        <v>11.5</v>
      </c>
      <c r="J134" s="2">
        <v>27</v>
      </c>
      <c r="K134" s="2">
        <v>43.5</v>
      </c>
      <c r="L134" s="2">
        <v>13</v>
      </c>
      <c r="M134" s="2">
        <v>72</v>
      </c>
      <c r="N134" s="2">
        <v>26.25</v>
      </c>
      <c r="O134" s="2">
        <v>41.65</v>
      </c>
      <c r="P134" s="2">
        <v>7</v>
      </c>
      <c r="Q134" s="2">
        <v>22.5</v>
      </c>
      <c r="R134" s="3">
        <v>1774.9</v>
      </c>
    </row>
    <row r="135" spans="1:18">
      <c r="A135" s="9" t="s">
        <v>18</v>
      </c>
      <c r="B135" s="10"/>
      <c r="C135" s="9">
        <v>379.5</v>
      </c>
      <c r="D135" s="11">
        <v>41</v>
      </c>
      <c r="E135" s="11">
        <v>47.35</v>
      </c>
      <c r="F135" s="11">
        <v>20</v>
      </c>
      <c r="G135" s="11">
        <v>604</v>
      </c>
      <c r="H135" s="11">
        <v>418.65</v>
      </c>
      <c r="I135" s="11">
        <v>11.5</v>
      </c>
      <c r="J135" s="11">
        <v>27</v>
      </c>
      <c r="K135" s="11">
        <v>43.5</v>
      </c>
      <c r="L135" s="11">
        <v>13</v>
      </c>
      <c r="M135" s="11">
        <v>72</v>
      </c>
      <c r="N135" s="11">
        <v>26.25</v>
      </c>
      <c r="O135" s="11">
        <v>41.65</v>
      </c>
      <c r="P135" s="11">
        <v>7</v>
      </c>
      <c r="Q135" s="11">
        <v>22.5</v>
      </c>
      <c r="R135" s="12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3" t="s">
        <v>18</v>
      </c>
    </row>
    <row r="2" spans="1:18">
      <c r="A2" s="1" t="s">
        <v>528</v>
      </c>
      <c r="B2" s="1" t="s">
        <v>529</v>
      </c>
      <c r="C2" s="1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>
        <v>5</v>
      </c>
    </row>
    <row r="3" spans="1:18">
      <c r="A3" s="4"/>
      <c r="B3" s="6" t="s">
        <v>530</v>
      </c>
      <c r="C3" s="6"/>
      <c r="D3" s="7"/>
      <c r="E3" s="7"/>
      <c r="F3" s="7"/>
      <c r="G3" s="7"/>
      <c r="H3" s="7">
        <v>5</v>
      </c>
      <c r="I3" s="7"/>
      <c r="J3" s="7"/>
      <c r="K3" s="7"/>
      <c r="L3" s="7"/>
      <c r="M3" s="7"/>
      <c r="N3" s="7"/>
      <c r="O3" s="7"/>
      <c r="P3" s="7"/>
      <c r="Q3" s="7"/>
      <c r="R3" s="8">
        <v>5</v>
      </c>
    </row>
    <row r="4" spans="1:18">
      <c r="A4" s="4"/>
      <c r="B4" s="6" t="s">
        <v>531</v>
      </c>
      <c r="C4" s="6"/>
      <c r="D4" s="7">
        <v>11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>
        <v>11</v>
      </c>
    </row>
    <row r="5" spans="1:18">
      <c r="A5" s="4"/>
      <c r="B5" s="6" t="s">
        <v>532</v>
      </c>
      <c r="C5" s="6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533</v>
      </c>
      <c r="C6" s="6"/>
      <c r="D6" s="7"/>
      <c r="E6" s="7"/>
      <c r="F6" s="7"/>
      <c r="G6" s="7"/>
      <c r="H6" s="7">
        <v>1.1000000000000001</v>
      </c>
      <c r="I6" s="7"/>
      <c r="J6" s="7"/>
      <c r="K6" s="7"/>
      <c r="L6" s="7"/>
      <c r="M6" s="7"/>
      <c r="N6" s="7"/>
      <c r="O6" s="7"/>
      <c r="P6" s="7"/>
      <c r="Q6" s="7"/>
      <c r="R6" s="8">
        <v>1.1000000000000001</v>
      </c>
    </row>
    <row r="7" spans="1:18">
      <c r="A7" s="4"/>
      <c r="B7" s="6" t="s">
        <v>534</v>
      </c>
      <c r="C7" s="6">
        <v>5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8">
        <v>6</v>
      </c>
    </row>
    <row r="8" spans="1:18">
      <c r="A8" s="4"/>
      <c r="B8" s="6" t="s">
        <v>535</v>
      </c>
      <c r="C8" s="6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9</v>
      </c>
    </row>
    <row r="9" spans="1:18">
      <c r="A9" s="4"/>
      <c r="B9" s="6" t="s">
        <v>536</v>
      </c>
      <c r="C9" s="6">
        <v>3</v>
      </c>
      <c r="D9" s="7"/>
      <c r="E9" s="7"/>
      <c r="F9" s="7"/>
      <c r="G9" s="7"/>
      <c r="H9" s="7">
        <v>7.5</v>
      </c>
      <c r="I9" s="7"/>
      <c r="J9" s="7"/>
      <c r="K9" s="7"/>
      <c r="L9" s="7"/>
      <c r="M9" s="7"/>
      <c r="N9" s="7"/>
      <c r="O9" s="7"/>
      <c r="P9" s="7"/>
      <c r="Q9" s="7"/>
      <c r="R9" s="8">
        <v>10.5</v>
      </c>
    </row>
    <row r="10" spans="1:18">
      <c r="A10" s="4"/>
      <c r="B10" s="6" t="s">
        <v>537</v>
      </c>
      <c r="C10" s="6"/>
      <c r="D10" s="7"/>
      <c r="E10" s="7"/>
      <c r="F10" s="7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8">
        <v>11</v>
      </c>
    </row>
    <row r="11" spans="1:18">
      <c r="A11" s="4"/>
      <c r="B11" s="6" t="s">
        <v>538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2</v>
      </c>
      <c r="R11" s="8">
        <v>2</v>
      </c>
    </row>
    <row r="12" spans="1:18">
      <c r="A12" s="4"/>
      <c r="B12" s="6" t="s">
        <v>539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1</v>
      </c>
      <c r="R12" s="8">
        <v>1</v>
      </c>
    </row>
    <row r="13" spans="1:18">
      <c r="A13" s="4"/>
      <c r="B13" s="6" t="s">
        <v>540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5</v>
      </c>
      <c r="R13" s="8">
        <v>5</v>
      </c>
    </row>
    <row r="14" spans="1:18">
      <c r="A14" s="4"/>
      <c r="B14" s="6" t="s">
        <v>541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3</v>
      </c>
      <c r="R14" s="8">
        <v>3</v>
      </c>
    </row>
    <row r="15" spans="1:18">
      <c r="A15" s="4"/>
      <c r="B15" s="6" t="s">
        <v>542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8">
        <v>3</v>
      </c>
    </row>
    <row r="16" spans="1:18">
      <c r="A16" s="4"/>
      <c r="B16" s="6" t="s">
        <v>543</v>
      </c>
      <c r="C16" s="6">
        <v>1</v>
      </c>
      <c r="D16" s="7"/>
      <c r="E16" s="7"/>
      <c r="F16" s="7"/>
      <c r="G16" s="7"/>
      <c r="H16" s="7">
        <v>9</v>
      </c>
      <c r="I16" s="7"/>
      <c r="J16" s="7"/>
      <c r="K16" s="7"/>
      <c r="L16" s="7"/>
      <c r="M16" s="7"/>
      <c r="N16" s="7"/>
      <c r="O16" s="7"/>
      <c r="P16" s="7"/>
      <c r="Q16" s="7"/>
      <c r="R16" s="8">
        <v>10</v>
      </c>
    </row>
    <row r="17" spans="1:18">
      <c r="A17" s="4"/>
      <c r="B17" s="6" t="s">
        <v>544</v>
      </c>
      <c r="C17" s="6"/>
      <c r="D17" s="7"/>
      <c r="E17" s="7"/>
      <c r="F17" s="7"/>
      <c r="G17" s="7"/>
      <c r="H17" s="7"/>
      <c r="I17" s="7"/>
      <c r="J17" s="7"/>
      <c r="K17" s="7">
        <v>4</v>
      </c>
      <c r="L17" s="7"/>
      <c r="M17" s="7"/>
      <c r="N17" s="7"/>
      <c r="O17" s="7"/>
      <c r="P17" s="7"/>
      <c r="Q17" s="7"/>
      <c r="R17" s="8">
        <v>4</v>
      </c>
    </row>
    <row r="18" spans="1:18">
      <c r="A18" s="4"/>
      <c r="B18" s="6" t="s">
        <v>545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25</v>
      </c>
      <c r="R18" s="8">
        <v>25</v>
      </c>
    </row>
    <row r="19" spans="1:18">
      <c r="A19" s="4"/>
      <c r="B19" s="6" t="s">
        <v>546</v>
      </c>
      <c r="C19" s="6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v>7</v>
      </c>
    </row>
    <row r="20" spans="1:18">
      <c r="A20" s="4"/>
      <c r="B20" s="6" t="s">
        <v>547</v>
      </c>
      <c r="C20" s="6"/>
      <c r="D20" s="7"/>
      <c r="E20" s="7"/>
      <c r="F20" s="7"/>
      <c r="G20" s="7"/>
      <c r="H20" s="7">
        <v>4</v>
      </c>
      <c r="I20" s="7"/>
      <c r="J20" s="7"/>
      <c r="K20" s="7"/>
      <c r="L20" s="7"/>
      <c r="M20" s="7"/>
      <c r="N20" s="7"/>
      <c r="O20" s="7"/>
      <c r="P20" s="7"/>
      <c r="Q20" s="7"/>
      <c r="R20" s="8">
        <v>4</v>
      </c>
    </row>
    <row r="21" spans="1:18">
      <c r="A21" s="4"/>
      <c r="B21" s="6" t="s">
        <v>548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3</v>
      </c>
      <c r="P21" s="7"/>
      <c r="Q21" s="7"/>
      <c r="R21" s="8">
        <v>3</v>
      </c>
    </row>
    <row r="22" spans="1:18">
      <c r="A22" s="4"/>
      <c r="B22" s="6" t="s">
        <v>344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549</v>
      </c>
      <c r="C23" s="6"/>
      <c r="D23" s="7">
        <v>2.2999999999999998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v>2.2999999999999998</v>
      </c>
    </row>
    <row r="24" spans="1:18">
      <c r="A24" s="4"/>
      <c r="B24" s="6" t="s">
        <v>550</v>
      </c>
      <c r="C24" s="6">
        <v>6</v>
      </c>
      <c r="D24" s="7"/>
      <c r="E24" s="7"/>
      <c r="F24" s="7"/>
      <c r="G24" s="7"/>
      <c r="H24" s="7">
        <v>4</v>
      </c>
      <c r="I24" s="7">
        <v>2</v>
      </c>
      <c r="J24" s="7"/>
      <c r="K24" s="7">
        <v>1</v>
      </c>
      <c r="L24" s="7">
        <v>11</v>
      </c>
      <c r="M24" s="7"/>
      <c r="N24" s="7"/>
      <c r="O24" s="7"/>
      <c r="P24" s="7">
        <v>2</v>
      </c>
      <c r="Q24" s="7"/>
      <c r="R24" s="8">
        <v>26</v>
      </c>
    </row>
    <row r="25" spans="1:18">
      <c r="A25" s="4"/>
      <c r="B25" s="6" t="s">
        <v>551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>
        <v>41</v>
      </c>
      <c r="N25" s="7"/>
      <c r="O25" s="7"/>
      <c r="P25" s="7"/>
      <c r="Q25" s="7"/>
      <c r="R25" s="8">
        <v>41</v>
      </c>
    </row>
    <row r="26" spans="1:18">
      <c r="A26" s="4"/>
      <c r="B26" s="6" t="s">
        <v>552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30</v>
      </c>
      <c r="N26" s="7"/>
      <c r="O26" s="7"/>
      <c r="P26" s="7"/>
      <c r="Q26" s="7"/>
      <c r="R26" s="8">
        <v>30</v>
      </c>
    </row>
    <row r="27" spans="1:18">
      <c r="A27" s="4"/>
      <c r="B27" s="6" t="s">
        <v>553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</v>
      </c>
      <c r="R27" s="8">
        <v>1</v>
      </c>
    </row>
    <row r="28" spans="1:18">
      <c r="A28" s="4"/>
      <c r="B28" s="6" t="s">
        <v>554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10</v>
      </c>
      <c r="R28" s="8">
        <v>10</v>
      </c>
    </row>
    <row r="29" spans="1:18">
      <c r="A29" s="4"/>
      <c r="B29" s="6" t="s">
        <v>555</v>
      </c>
      <c r="C29" s="6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3</v>
      </c>
    </row>
    <row r="30" spans="1:18">
      <c r="A30" s="4"/>
      <c r="B30" s="6" t="s">
        <v>556</v>
      </c>
      <c r="C30" s="6"/>
      <c r="D30" s="7"/>
      <c r="E30" s="7"/>
      <c r="F30" s="7">
        <v>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8">
        <v>11</v>
      </c>
    </row>
    <row r="31" spans="1:18">
      <c r="A31" s="4"/>
      <c r="B31" s="6" t="s">
        <v>557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8">
        <v>1</v>
      </c>
    </row>
    <row r="32" spans="1:18">
      <c r="A32" s="4"/>
      <c r="B32" s="6" t="s">
        <v>558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5</v>
      </c>
      <c r="R32" s="8">
        <v>5</v>
      </c>
    </row>
    <row r="33" spans="1:18">
      <c r="A33" s="4"/>
      <c r="B33" s="6" t="s">
        <v>559</v>
      </c>
      <c r="C33" s="6">
        <v>36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36</v>
      </c>
    </row>
    <row r="34" spans="1:18">
      <c r="A34" s="4"/>
      <c r="B34" s="6" t="s">
        <v>560</v>
      </c>
      <c r="C34" s="6">
        <v>84</v>
      </c>
      <c r="D34" s="7"/>
      <c r="E34" s="7"/>
      <c r="F34" s="7"/>
      <c r="G34" s="7"/>
      <c r="H34" s="7">
        <v>441.45</v>
      </c>
      <c r="I34" s="7"/>
      <c r="J34" s="7"/>
      <c r="K34" s="7"/>
      <c r="L34" s="7"/>
      <c r="M34" s="7"/>
      <c r="N34" s="7"/>
      <c r="O34" s="7"/>
      <c r="P34" s="7"/>
      <c r="Q34" s="7"/>
      <c r="R34" s="8">
        <v>525.45000000000005</v>
      </c>
    </row>
    <row r="35" spans="1:18">
      <c r="A35" s="4"/>
      <c r="B35" s="5" t="s">
        <v>362</v>
      </c>
      <c r="C35" s="6"/>
      <c r="D35" s="7">
        <v>4.2</v>
      </c>
      <c r="E35" s="7"/>
      <c r="F35" s="7">
        <v>25</v>
      </c>
      <c r="G35" s="7"/>
      <c r="H35" s="7">
        <v>2</v>
      </c>
      <c r="I35" s="7"/>
      <c r="J35" s="7"/>
      <c r="K35" s="7"/>
      <c r="L35" s="7"/>
      <c r="M35" s="7"/>
      <c r="N35" s="7"/>
      <c r="O35" s="7">
        <v>1</v>
      </c>
      <c r="P35" s="7">
        <v>1</v>
      </c>
      <c r="Q35" s="7"/>
      <c r="R35" s="8">
        <v>33.200000000000003</v>
      </c>
    </row>
    <row r="36" spans="1:18">
      <c r="A36" s="4"/>
      <c r="B36" s="6" t="s">
        <v>561</v>
      </c>
      <c r="C36" s="6">
        <v>3</v>
      </c>
      <c r="D36" s="7"/>
      <c r="E36" s="7"/>
      <c r="F36" s="7"/>
      <c r="G36" s="7">
        <v>1</v>
      </c>
      <c r="H36" s="7">
        <v>35.15</v>
      </c>
      <c r="I36" s="7"/>
      <c r="J36" s="7"/>
      <c r="K36" s="7"/>
      <c r="L36" s="7"/>
      <c r="M36" s="7"/>
      <c r="N36" s="7"/>
      <c r="O36" s="7"/>
      <c r="P36" s="7"/>
      <c r="Q36" s="7">
        <v>3</v>
      </c>
      <c r="R36" s="8">
        <v>42.15</v>
      </c>
    </row>
    <row r="37" spans="1:18">
      <c r="A37" s="4"/>
      <c r="B37" s="6" t="s">
        <v>562</v>
      </c>
      <c r="C37" s="6">
        <v>3</v>
      </c>
      <c r="D37" s="7"/>
      <c r="E37" s="7"/>
      <c r="F37" s="7"/>
      <c r="G37" s="7"/>
      <c r="H37" s="7">
        <v>36</v>
      </c>
      <c r="I37" s="7"/>
      <c r="J37" s="7"/>
      <c r="K37" s="7"/>
      <c r="L37" s="7"/>
      <c r="M37" s="7"/>
      <c r="N37" s="7"/>
      <c r="O37" s="7"/>
      <c r="P37" s="7"/>
      <c r="Q37" s="7">
        <v>1</v>
      </c>
      <c r="R37" s="8">
        <v>40</v>
      </c>
    </row>
    <row r="38" spans="1:18">
      <c r="A38" s="4"/>
      <c r="B38" s="6" t="s">
        <v>563</v>
      </c>
      <c r="C38" s="6">
        <v>40</v>
      </c>
      <c r="D38" s="7"/>
      <c r="E38" s="7"/>
      <c r="F38" s="7"/>
      <c r="G38" s="7"/>
      <c r="H38" s="7">
        <v>2.1</v>
      </c>
      <c r="I38" s="7">
        <v>1</v>
      </c>
      <c r="J38" s="7">
        <v>1</v>
      </c>
      <c r="K38" s="7">
        <v>1</v>
      </c>
      <c r="L38" s="7">
        <v>1</v>
      </c>
      <c r="M38" s="7"/>
      <c r="N38" s="7"/>
      <c r="O38" s="7"/>
      <c r="P38" s="7"/>
      <c r="Q38" s="7">
        <v>12</v>
      </c>
      <c r="R38" s="8">
        <v>58.1</v>
      </c>
    </row>
    <row r="39" spans="1:18">
      <c r="A39" s="4"/>
      <c r="B39" s="6" t="s">
        <v>564</v>
      </c>
      <c r="C39" s="6"/>
      <c r="D39" s="7"/>
      <c r="E39" s="7"/>
      <c r="F39" s="7"/>
      <c r="G39" s="7"/>
      <c r="H39" s="7">
        <v>20</v>
      </c>
      <c r="I39" s="7"/>
      <c r="J39" s="7"/>
      <c r="K39" s="7"/>
      <c r="L39" s="7"/>
      <c r="M39" s="7"/>
      <c r="N39" s="7"/>
      <c r="O39" s="7"/>
      <c r="P39" s="7"/>
      <c r="Q39" s="7"/>
      <c r="R39" s="8">
        <v>20</v>
      </c>
    </row>
    <row r="40" spans="1:18">
      <c r="A40" s="4"/>
      <c r="B40" s="6" t="s">
        <v>565</v>
      </c>
      <c r="C40" s="6"/>
      <c r="D40" s="7"/>
      <c r="E40" s="7"/>
      <c r="F40" s="7"/>
      <c r="G40" s="7">
        <v>11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v>11</v>
      </c>
    </row>
    <row r="41" spans="1:18">
      <c r="A41" s="4"/>
      <c r="B41" s="6" t="s">
        <v>566</v>
      </c>
      <c r="C41" s="6"/>
      <c r="D41" s="7"/>
      <c r="E41" s="7"/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4</v>
      </c>
    </row>
    <row r="42" spans="1:18">
      <c r="A42" s="4"/>
      <c r="B42" s="6" t="s">
        <v>567</v>
      </c>
      <c r="C42" s="6"/>
      <c r="D42" s="7"/>
      <c r="E42" s="7"/>
      <c r="F42" s="7"/>
      <c r="G42" s="7"/>
      <c r="H42" s="7">
        <v>10</v>
      </c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568</v>
      </c>
      <c r="C43" s="6">
        <v>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3</v>
      </c>
      <c r="R43" s="8">
        <v>5</v>
      </c>
    </row>
    <row r="44" spans="1:18">
      <c r="A44" s="4"/>
      <c r="B44" s="6" t="s">
        <v>569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9</v>
      </c>
      <c r="R44" s="8">
        <v>9</v>
      </c>
    </row>
    <row r="45" spans="1:18">
      <c r="A45" s="4"/>
      <c r="B45" s="6" t="s">
        <v>570</v>
      </c>
      <c r="C45" s="6">
        <v>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10</v>
      </c>
    </row>
    <row r="46" spans="1:18">
      <c r="A46" s="4"/>
      <c r="B46" s="6" t="s">
        <v>571</v>
      </c>
      <c r="C46" s="6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v>62</v>
      </c>
    </row>
    <row r="47" spans="1:18">
      <c r="A47" s="4"/>
      <c r="B47" s="6" t="s">
        <v>572</v>
      </c>
      <c r="C47" s="6"/>
      <c r="D47" s="7"/>
      <c r="E47" s="7"/>
      <c r="F47" s="7"/>
      <c r="G47" s="7"/>
      <c r="H47" s="7"/>
      <c r="I47" s="7"/>
      <c r="J47" s="7"/>
      <c r="K47" s="7"/>
      <c r="L47" s="7">
        <v>96.5</v>
      </c>
      <c r="M47" s="7"/>
      <c r="N47" s="7"/>
      <c r="O47" s="7"/>
      <c r="P47" s="7"/>
      <c r="Q47" s="7"/>
      <c r="R47" s="8">
        <v>96.5</v>
      </c>
    </row>
    <row r="48" spans="1:18">
      <c r="A48" s="4"/>
      <c r="B48" s="5" t="s">
        <v>573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8">
        <v>1</v>
      </c>
    </row>
    <row r="49" spans="1:18">
      <c r="A49" s="4"/>
      <c r="B49" s="6" t="s">
        <v>574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2</v>
      </c>
      <c r="R49" s="8">
        <v>2</v>
      </c>
    </row>
    <row r="50" spans="1:18">
      <c r="A50" s="4"/>
      <c r="B50" s="6" t="s">
        <v>575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3</v>
      </c>
      <c r="R50" s="8">
        <v>3</v>
      </c>
    </row>
    <row r="51" spans="1:18">
      <c r="A51" s="4"/>
      <c r="B51" s="6" t="s">
        <v>576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5</v>
      </c>
      <c r="R51" s="8">
        <v>5</v>
      </c>
    </row>
    <row r="52" spans="1:18">
      <c r="A52" s="4"/>
      <c r="B52" s="6" t="s">
        <v>577</v>
      </c>
      <c r="C52" s="6"/>
      <c r="D52" s="7"/>
      <c r="E52" s="7"/>
      <c r="F52" s="7"/>
      <c r="G52" s="7"/>
      <c r="H52" s="7">
        <v>98</v>
      </c>
      <c r="I52" s="7"/>
      <c r="J52" s="7"/>
      <c r="K52" s="7"/>
      <c r="L52" s="7"/>
      <c r="M52" s="7"/>
      <c r="N52" s="7"/>
      <c r="O52" s="7"/>
      <c r="P52" s="7"/>
      <c r="Q52" s="7">
        <v>7</v>
      </c>
      <c r="R52" s="8">
        <v>105</v>
      </c>
    </row>
    <row r="53" spans="1:18">
      <c r="A53" s="4"/>
      <c r="B53" s="6" t="s">
        <v>578</v>
      </c>
      <c r="C53" s="6"/>
      <c r="D53" s="7"/>
      <c r="E53" s="7">
        <v>0.5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579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</v>
      </c>
      <c r="R54" s="8">
        <v>8</v>
      </c>
    </row>
    <row r="55" spans="1:18">
      <c r="A55" s="4"/>
      <c r="B55" s="6" t="s">
        <v>580</v>
      </c>
      <c r="C55" s="6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19</v>
      </c>
    </row>
    <row r="56" spans="1:18">
      <c r="A56" s="4"/>
      <c r="B56" s="6" t="s">
        <v>581</v>
      </c>
      <c r="C56" s="6">
        <v>164</v>
      </c>
      <c r="D56" s="7"/>
      <c r="E56" s="7"/>
      <c r="F56" s="7"/>
      <c r="G56" s="7"/>
      <c r="H56" s="7">
        <v>265</v>
      </c>
      <c r="I56" s="7"/>
      <c r="J56" s="7"/>
      <c r="K56" s="7"/>
      <c r="L56" s="7"/>
      <c r="M56" s="7"/>
      <c r="N56" s="7"/>
      <c r="O56" s="7"/>
      <c r="P56" s="7"/>
      <c r="Q56" s="7"/>
      <c r="R56" s="8">
        <v>429</v>
      </c>
    </row>
    <row r="57" spans="1:18">
      <c r="A57" s="4"/>
      <c r="B57" s="6" t="s">
        <v>582</v>
      </c>
      <c r="C57" s="6"/>
      <c r="D57" s="7"/>
      <c r="E57" s="7"/>
      <c r="F57" s="7"/>
      <c r="G57" s="7"/>
      <c r="H57" s="7"/>
      <c r="I57" s="7">
        <v>27</v>
      </c>
      <c r="J57" s="7"/>
      <c r="K57" s="7"/>
      <c r="L57" s="7"/>
      <c r="M57" s="7"/>
      <c r="N57" s="7"/>
      <c r="O57" s="7"/>
      <c r="P57" s="7"/>
      <c r="Q57" s="7"/>
      <c r="R57" s="8">
        <v>27</v>
      </c>
    </row>
    <row r="58" spans="1:18">
      <c r="A58" s="4"/>
      <c r="B58" s="6" t="s">
        <v>583</v>
      </c>
      <c r="C58" s="6"/>
      <c r="D58" s="7"/>
      <c r="E58" s="7"/>
      <c r="F58" s="7">
        <v>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5</v>
      </c>
    </row>
    <row r="59" spans="1:18">
      <c r="A59" s="4"/>
      <c r="B59" s="6" t="s">
        <v>584</v>
      </c>
      <c r="C59" s="6"/>
      <c r="D59" s="7"/>
      <c r="E59" s="7"/>
      <c r="F59" s="7"/>
      <c r="G59" s="7"/>
      <c r="H59" s="7"/>
      <c r="I59" s="7"/>
      <c r="J59" s="7"/>
      <c r="K59" s="7"/>
      <c r="L59" s="7">
        <v>32.5</v>
      </c>
      <c r="M59" s="7"/>
      <c r="N59" s="7"/>
      <c r="O59" s="7"/>
      <c r="P59" s="7"/>
      <c r="Q59" s="7">
        <v>16</v>
      </c>
      <c r="R59" s="8">
        <v>48.5</v>
      </c>
    </row>
    <row r="60" spans="1:18">
      <c r="A60" s="4"/>
      <c r="B60" s="6" t="s">
        <v>585</v>
      </c>
      <c r="C60" s="6">
        <v>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2</v>
      </c>
    </row>
    <row r="61" spans="1:18">
      <c r="A61" s="4"/>
      <c r="B61" s="6" t="s">
        <v>586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587</v>
      </c>
      <c r="C62" s="6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4</v>
      </c>
    </row>
    <row r="63" spans="1:18">
      <c r="A63" s="4"/>
      <c r="B63" s="6" t="s">
        <v>588</v>
      </c>
      <c r="C63" s="6">
        <v>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v>5</v>
      </c>
    </row>
    <row r="64" spans="1:18">
      <c r="A64" s="4"/>
      <c r="B64" s="6" t="s">
        <v>589</v>
      </c>
      <c r="C64" s="6">
        <v>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v>9</v>
      </c>
    </row>
    <row r="65" spans="1:18">
      <c r="A65" s="4"/>
      <c r="B65" s="6" t="s">
        <v>590</v>
      </c>
      <c r="C65" s="6">
        <v>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v>3</v>
      </c>
    </row>
    <row r="66" spans="1:18">
      <c r="A66" s="4"/>
      <c r="B66" s="6" t="s">
        <v>591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>
        <v>24</v>
      </c>
      <c r="N66" s="7"/>
      <c r="O66" s="7"/>
      <c r="P66" s="7"/>
      <c r="Q66" s="7"/>
      <c r="R66" s="8">
        <v>24</v>
      </c>
    </row>
    <row r="67" spans="1:18">
      <c r="A67" s="4"/>
      <c r="B67" s="6" t="s">
        <v>592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23</v>
      </c>
      <c r="Q67" s="7"/>
      <c r="R67" s="8">
        <v>23</v>
      </c>
    </row>
    <row r="68" spans="1:18">
      <c r="A68" s="4"/>
      <c r="B68" s="6" t="s">
        <v>593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1</v>
      </c>
      <c r="O68" s="7"/>
      <c r="P68" s="7"/>
      <c r="Q68" s="7"/>
      <c r="R68" s="8">
        <v>1</v>
      </c>
    </row>
    <row r="69" spans="1:18">
      <c r="A69" s="4"/>
      <c r="B69" s="6" t="s">
        <v>594</v>
      </c>
      <c r="C69" s="6"/>
      <c r="D69" s="7"/>
      <c r="E69" s="7">
        <v>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5</v>
      </c>
    </row>
    <row r="70" spans="1:18">
      <c r="A70" s="4"/>
      <c r="B70" s="6" t="s">
        <v>595</v>
      </c>
      <c r="C70" s="6"/>
      <c r="D70" s="7"/>
      <c r="E70" s="7">
        <v>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v>4</v>
      </c>
    </row>
    <row r="71" spans="1:18">
      <c r="A71" s="4"/>
      <c r="B71" s="6" t="s">
        <v>596</v>
      </c>
      <c r="C71" s="6"/>
      <c r="D71" s="7"/>
      <c r="E71" s="7"/>
      <c r="F71" s="7"/>
      <c r="G71" s="7"/>
      <c r="H71" s="7"/>
      <c r="I71" s="7"/>
      <c r="J71" s="7"/>
      <c r="K71" s="7">
        <v>11</v>
      </c>
      <c r="L71" s="7"/>
      <c r="M71" s="7"/>
      <c r="N71" s="7"/>
      <c r="O71" s="7"/>
      <c r="P71" s="7"/>
      <c r="Q71" s="7"/>
      <c r="R71" s="8">
        <v>11</v>
      </c>
    </row>
    <row r="72" spans="1:18">
      <c r="A72" s="4"/>
      <c r="B72" s="6" t="s">
        <v>597</v>
      </c>
      <c r="C72" s="6"/>
      <c r="D72" s="7"/>
      <c r="E72" s="7"/>
      <c r="F72" s="7"/>
      <c r="G72" s="7"/>
      <c r="H72" s="7"/>
      <c r="I72" s="7"/>
      <c r="J72" s="7"/>
      <c r="K72" s="7">
        <v>1</v>
      </c>
      <c r="L72" s="7"/>
      <c r="M72" s="7"/>
      <c r="N72" s="7"/>
      <c r="O72" s="7"/>
      <c r="P72" s="7"/>
      <c r="Q72" s="7"/>
      <c r="R72" s="8">
        <v>1</v>
      </c>
    </row>
    <row r="73" spans="1:18">
      <c r="A73" s="4"/>
      <c r="B73" s="6" t="s">
        <v>598</v>
      </c>
      <c r="C73" s="6"/>
      <c r="D73" s="7"/>
      <c r="E73" s="7">
        <v>11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11</v>
      </c>
    </row>
    <row r="74" spans="1:18">
      <c r="A74" s="4"/>
      <c r="B74" s="6" t="s">
        <v>599</v>
      </c>
      <c r="C74" s="6"/>
      <c r="D74" s="7"/>
      <c r="E74" s="7">
        <v>10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10</v>
      </c>
    </row>
    <row r="75" spans="1:18">
      <c r="A75" s="4"/>
      <c r="B75" s="6" t="s">
        <v>600</v>
      </c>
      <c r="C75" s="6"/>
      <c r="D75" s="7"/>
      <c r="E75" s="7">
        <v>11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11</v>
      </c>
    </row>
    <row r="76" spans="1:18">
      <c r="A76" s="4"/>
      <c r="B76" s="6" t="s">
        <v>601</v>
      </c>
      <c r="C76" s="6"/>
      <c r="D76" s="7"/>
      <c r="E76" s="7">
        <v>13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v>13</v>
      </c>
    </row>
    <row r="77" spans="1:18">
      <c r="A77" s="4"/>
      <c r="B77" s="6" t="s">
        <v>602</v>
      </c>
      <c r="C77" s="6"/>
      <c r="D77" s="7"/>
      <c r="E77" s="7">
        <v>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v>3</v>
      </c>
    </row>
    <row r="78" spans="1:18">
      <c r="A78" s="4"/>
      <c r="B78" s="6" t="s">
        <v>603</v>
      </c>
      <c r="C78" s="6"/>
      <c r="D78" s="7"/>
      <c r="E78" s="7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v>9</v>
      </c>
    </row>
    <row r="79" spans="1:18">
      <c r="A79" s="4"/>
      <c r="B79" s="6" t="s">
        <v>604</v>
      </c>
      <c r="C79" s="6"/>
      <c r="D79" s="7"/>
      <c r="E79" s="7">
        <v>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2</v>
      </c>
    </row>
    <row r="80" spans="1:18">
      <c r="A80" s="4"/>
      <c r="B80" s="6" t="s">
        <v>605</v>
      </c>
      <c r="C80" s="6"/>
      <c r="D80" s="7"/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</v>
      </c>
    </row>
    <row r="81" spans="1:18">
      <c r="A81" s="4"/>
      <c r="B81" s="6" t="s">
        <v>606</v>
      </c>
      <c r="C81" s="6"/>
      <c r="D81" s="7"/>
      <c r="E81" s="7">
        <v>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v>4</v>
      </c>
    </row>
    <row r="82" spans="1:18">
      <c r="A82" s="4"/>
      <c r="B82" s="6" t="s">
        <v>607</v>
      </c>
      <c r="C82" s="6"/>
      <c r="D82" s="7"/>
      <c r="E82" s="7"/>
      <c r="F82" s="7"/>
      <c r="G82" s="7"/>
      <c r="H82" s="7"/>
      <c r="I82" s="7"/>
      <c r="J82" s="7"/>
      <c r="K82" s="7">
        <v>9</v>
      </c>
      <c r="L82" s="7"/>
      <c r="M82" s="7"/>
      <c r="N82" s="7"/>
      <c r="O82" s="7"/>
      <c r="P82" s="7"/>
      <c r="Q82" s="7"/>
      <c r="R82" s="8">
        <v>9</v>
      </c>
    </row>
    <row r="83" spans="1:18">
      <c r="A83" s="4"/>
      <c r="B83" s="6" t="s">
        <v>608</v>
      </c>
      <c r="C83" s="6"/>
      <c r="D83" s="7"/>
      <c r="E83" s="7"/>
      <c r="F83" s="7"/>
      <c r="G83" s="7"/>
      <c r="H83" s="7"/>
      <c r="I83" s="7"/>
      <c r="J83" s="7"/>
      <c r="K83" s="7">
        <v>19</v>
      </c>
      <c r="L83" s="7"/>
      <c r="M83" s="7"/>
      <c r="N83" s="7"/>
      <c r="O83" s="7"/>
      <c r="P83" s="7"/>
      <c r="Q83" s="7"/>
      <c r="R83" s="8">
        <v>19</v>
      </c>
    </row>
    <row r="84" spans="1:18">
      <c r="A84" s="4"/>
      <c r="B84" s="6" t="s">
        <v>609</v>
      </c>
      <c r="C84" s="6"/>
      <c r="D84" s="7"/>
      <c r="E84" s="7"/>
      <c r="F84" s="7"/>
      <c r="G84" s="7"/>
      <c r="H84" s="7"/>
      <c r="I84" s="7"/>
      <c r="J84" s="7"/>
      <c r="K84" s="7">
        <v>9</v>
      </c>
      <c r="L84" s="7"/>
      <c r="M84" s="7"/>
      <c r="N84" s="7"/>
      <c r="O84" s="7"/>
      <c r="P84" s="7"/>
      <c r="Q84" s="7"/>
      <c r="R84" s="8">
        <v>9</v>
      </c>
    </row>
    <row r="85" spans="1:18">
      <c r="A85" s="4"/>
      <c r="B85" s="6" t="s">
        <v>610</v>
      </c>
      <c r="C85" s="6">
        <v>39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39</v>
      </c>
    </row>
    <row r="86" spans="1:18">
      <c r="A86" s="4"/>
      <c r="B86" s="6" t="s">
        <v>611</v>
      </c>
      <c r="C86" s="6">
        <v>61</v>
      </c>
      <c r="D86" s="7"/>
      <c r="E86" s="7"/>
      <c r="F86" s="7"/>
      <c r="G86" s="7"/>
      <c r="H86" s="7">
        <v>39</v>
      </c>
      <c r="I86" s="7"/>
      <c r="J86" s="7"/>
      <c r="K86" s="7"/>
      <c r="L86" s="7"/>
      <c r="M86" s="7"/>
      <c r="N86" s="7"/>
      <c r="O86" s="7"/>
      <c r="P86" s="7"/>
      <c r="Q86" s="7"/>
      <c r="R86" s="8">
        <v>100</v>
      </c>
    </row>
    <row r="87" spans="1:18">
      <c r="A87" s="4"/>
      <c r="B87" s="6" t="s">
        <v>612</v>
      </c>
      <c r="C87" s="6"/>
      <c r="D87" s="7"/>
      <c r="E87" s="7"/>
      <c r="F87" s="7"/>
      <c r="G87" s="7"/>
      <c r="H87" s="7">
        <v>70.900000000000006</v>
      </c>
      <c r="I87" s="7"/>
      <c r="J87" s="7">
        <v>3</v>
      </c>
      <c r="K87" s="7"/>
      <c r="L87" s="7"/>
      <c r="M87" s="7"/>
      <c r="N87" s="7"/>
      <c r="O87" s="7"/>
      <c r="P87" s="7">
        <v>50</v>
      </c>
      <c r="Q87" s="7"/>
      <c r="R87" s="8">
        <v>123.9</v>
      </c>
    </row>
    <row r="88" spans="1:18">
      <c r="A88" s="4"/>
      <c r="B88" s="6" t="s">
        <v>613</v>
      </c>
      <c r="C88" s="6">
        <v>228.5</v>
      </c>
      <c r="D88" s="7"/>
      <c r="E88" s="7"/>
      <c r="F88" s="7"/>
      <c r="G88" s="7"/>
      <c r="H88" s="7"/>
      <c r="I88" s="7">
        <v>1</v>
      </c>
      <c r="J88" s="7">
        <v>3</v>
      </c>
      <c r="K88" s="7"/>
      <c r="L88" s="7"/>
      <c r="M88" s="7"/>
      <c r="N88" s="7"/>
      <c r="O88" s="7"/>
      <c r="P88" s="7">
        <v>8</v>
      </c>
      <c r="Q88" s="7"/>
      <c r="R88" s="8">
        <v>240.5</v>
      </c>
    </row>
    <row r="89" spans="1:18">
      <c r="A89" s="4"/>
      <c r="B89" s="6" t="s">
        <v>614</v>
      </c>
      <c r="C89" s="6"/>
      <c r="D89" s="7"/>
      <c r="E89" s="7"/>
      <c r="F89" s="7"/>
      <c r="G89" s="7"/>
      <c r="H89" s="7"/>
      <c r="I89" s="7"/>
      <c r="J89" s="7">
        <v>51</v>
      </c>
      <c r="K89" s="7"/>
      <c r="L89" s="7"/>
      <c r="M89" s="7"/>
      <c r="N89" s="7"/>
      <c r="O89" s="7"/>
      <c r="P89" s="7">
        <v>38</v>
      </c>
      <c r="Q89" s="7"/>
      <c r="R89" s="8">
        <v>89</v>
      </c>
    </row>
    <row r="90" spans="1:18">
      <c r="A90" s="4"/>
      <c r="B90" s="6" t="s">
        <v>615</v>
      </c>
      <c r="C90" s="6"/>
      <c r="D90" s="7"/>
      <c r="E90" s="7">
        <v>11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>
        <v>11</v>
      </c>
    </row>
    <row r="91" spans="1:18">
      <c r="A91" s="4"/>
      <c r="B91" s="6" t="s">
        <v>616</v>
      </c>
      <c r="C91" s="6"/>
      <c r="D91" s="7"/>
      <c r="E91" s="7">
        <v>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3</v>
      </c>
    </row>
    <row r="92" spans="1:18">
      <c r="A92" s="4"/>
      <c r="B92" s="6" t="s">
        <v>617</v>
      </c>
      <c r="C92" s="6"/>
      <c r="D92" s="7"/>
      <c r="E92" s="7">
        <v>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>
        <v>3</v>
      </c>
    </row>
    <row r="93" spans="1:18">
      <c r="A93" s="4"/>
      <c r="B93" s="6" t="s">
        <v>618</v>
      </c>
      <c r="C93" s="6"/>
      <c r="D93" s="7"/>
      <c r="E93" s="7"/>
      <c r="F93" s="7"/>
      <c r="G93" s="7"/>
      <c r="H93" s="7"/>
      <c r="I93" s="7"/>
      <c r="J93" s="7"/>
      <c r="K93" s="7">
        <v>3</v>
      </c>
      <c r="L93" s="7"/>
      <c r="M93" s="7"/>
      <c r="N93" s="7"/>
      <c r="O93" s="7"/>
      <c r="P93" s="7"/>
      <c r="Q93" s="7"/>
      <c r="R93" s="8">
        <v>3</v>
      </c>
    </row>
    <row r="94" spans="1:18">
      <c r="A94" s="4"/>
      <c r="B94" s="6" t="s">
        <v>619</v>
      </c>
      <c r="C94" s="6"/>
      <c r="D94" s="7"/>
      <c r="E94" s="7"/>
      <c r="F94" s="7">
        <v>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>
        <v>13</v>
      </c>
    </row>
    <row r="95" spans="1:18">
      <c r="A95" s="4"/>
      <c r="B95" s="6" t="s">
        <v>620</v>
      </c>
      <c r="C95" s="6"/>
      <c r="D95" s="7"/>
      <c r="E95" s="7"/>
      <c r="F95" s="7"/>
      <c r="G95" s="7"/>
      <c r="H95" s="7">
        <v>53</v>
      </c>
      <c r="I95" s="7"/>
      <c r="J95" s="7"/>
      <c r="K95" s="7"/>
      <c r="L95" s="7"/>
      <c r="M95" s="7"/>
      <c r="N95" s="7"/>
      <c r="O95" s="7"/>
      <c r="P95" s="7"/>
      <c r="Q95" s="7"/>
      <c r="R95" s="8">
        <v>53</v>
      </c>
    </row>
    <row r="96" spans="1:18">
      <c r="A96" s="4"/>
      <c r="B96" s="6" t="s">
        <v>621</v>
      </c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3</v>
      </c>
      <c r="R96" s="8">
        <v>3</v>
      </c>
    </row>
    <row r="97" spans="1:18">
      <c r="A97" s="4"/>
      <c r="B97" s="6" t="s">
        <v>622</v>
      </c>
      <c r="C97" s="6"/>
      <c r="D97" s="7"/>
      <c r="E97" s="7"/>
      <c r="F97" s="7">
        <v>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3</v>
      </c>
    </row>
    <row r="98" spans="1:18">
      <c r="A98" s="4"/>
      <c r="B98" s="6" t="s">
        <v>623</v>
      </c>
      <c r="C98" s="6"/>
      <c r="D98" s="7">
        <v>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>
        <v>2</v>
      </c>
    </row>
    <row r="99" spans="1:18">
      <c r="A99" s="4"/>
      <c r="B99" s="6" t="s">
        <v>624</v>
      </c>
      <c r="C99" s="6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>
        <v>1</v>
      </c>
    </row>
    <row r="100" spans="1:18">
      <c r="A100" s="4"/>
      <c r="B100" s="6" t="s">
        <v>625</v>
      </c>
      <c r="C100" s="6"/>
      <c r="D100" s="7"/>
      <c r="E100" s="7"/>
      <c r="F100" s="7"/>
      <c r="G100" s="7"/>
      <c r="H100" s="7">
        <v>38</v>
      </c>
      <c r="I100" s="7"/>
      <c r="J100" s="7">
        <v>5</v>
      </c>
      <c r="K100" s="7"/>
      <c r="L100" s="7"/>
      <c r="M100" s="7"/>
      <c r="N100" s="7"/>
      <c r="O100" s="7"/>
      <c r="P100" s="7"/>
      <c r="Q100" s="7"/>
      <c r="R100" s="8">
        <v>43</v>
      </c>
    </row>
    <row r="101" spans="1:18">
      <c r="A101" s="4"/>
      <c r="B101" s="6" t="s">
        <v>626</v>
      </c>
      <c r="C101" s="6"/>
      <c r="D101" s="7"/>
      <c r="E101" s="7"/>
      <c r="F101" s="7"/>
      <c r="G101" s="7"/>
      <c r="H101" s="7"/>
      <c r="I101" s="7"/>
      <c r="J101" s="7">
        <v>2</v>
      </c>
      <c r="K101" s="7"/>
      <c r="L101" s="7"/>
      <c r="M101" s="7"/>
      <c r="N101" s="7"/>
      <c r="O101" s="7"/>
      <c r="P101" s="7">
        <v>92</v>
      </c>
      <c r="Q101" s="7"/>
      <c r="R101" s="8">
        <v>94</v>
      </c>
    </row>
    <row r="102" spans="1:18">
      <c r="A102" s="4"/>
      <c r="B102" s="6" t="s">
        <v>627</v>
      </c>
      <c r="C102" s="6"/>
      <c r="D102" s="7"/>
      <c r="E102" s="7"/>
      <c r="F102" s="7"/>
      <c r="G102" s="7"/>
      <c r="H102" s="7">
        <v>130</v>
      </c>
      <c r="I102" s="7"/>
      <c r="J102" s="7">
        <v>81</v>
      </c>
      <c r="K102" s="7"/>
      <c r="L102" s="7"/>
      <c r="M102" s="7"/>
      <c r="N102" s="7"/>
      <c r="O102" s="7"/>
      <c r="P102" s="7">
        <v>10</v>
      </c>
      <c r="Q102" s="7"/>
      <c r="R102" s="8">
        <v>221</v>
      </c>
    </row>
    <row r="103" spans="1:18">
      <c r="A103" s="4"/>
      <c r="B103" s="5" t="s">
        <v>628</v>
      </c>
      <c r="C103" s="6"/>
      <c r="D103" s="7">
        <v>2</v>
      </c>
      <c r="E103" s="7"/>
      <c r="F103" s="7">
        <v>4</v>
      </c>
      <c r="G103" s="7"/>
      <c r="H103" s="7"/>
      <c r="I103" s="7"/>
      <c r="J103" s="7"/>
      <c r="K103" s="7"/>
      <c r="L103" s="7"/>
      <c r="M103" s="7">
        <v>2</v>
      </c>
      <c r="N103" s="7"/>
      <c r="O103" s="7"/>
      <c r="P103" s="7"/>
      <c r="Q103" s="7"/>
      <c r="R103" s="8">
        <v>8</v>
      </c>
    </row>
    <row r="104" spans="1:18">
      <c r="A104" s="4"/>
      <c r="B104" s="6" t="s">
        <v>629</v>
      </c>
      <c r="C104" s="6"/>
      <c r="D104" s="7"/>
      <c r="E104" s="7"/>
      <c r="F104" s="7"/>
      <c r="G104" s="7"/>
      <c r="H104" s="7">
        <v>22</v>
      </c>
      <c r="I104" s="7">
        <v>9</v>
      </c>
      <c r="J104" s="7">
        <v>3</v>
      </c>
      <c r="K104" s="7"/>
      <c r="L104" s="7"/>
      <c r="M104" s="7"/>
      <c r="N104" s="7"/>
      <c r="O104" s="7"/>
      <c r="P104" s="7">
        <v>3.5</v>
      </c>
      <c r="Q104" s="7"/>
      <c r="R104" s="8">
        <v>37.5</v>
      </c>
    </row>
    <row r="105" spans="1:18">
      <c r="A105" s="4"/>
      <c r="B105" s="6" t="s">
        <v>630</v>
      </c>
      <c r="C105" s="6"/>
      <c r="D105" s="7"/>
      <c r="E105" s="7"/>
      <c r="F105" s="7"/>
      <c r="G105" s="7"/>
      <c r="H105" s="7">
        <v>4</v>
      </c>
      <c r="I105" s="7">
        <v>4</v>
      </c>
      <c r="J105" s="7">
        <v>5</v>
      </c>
      <c r="K105" s="7">
        <v>4</v>
      </c>
      <c r="L105" s="7"/>
      <c r="M105" s="7"/>
      <c r="N105" s="7"/>
      <c r="O105" s="7"/>
      <c r="P105" s="7"/>
      <c r="Q105" s="7"/>
      <c r="R105" s="8">
        <v>17</v>
      </c>
    </row>
    <row r="106" spans="1:18">
      <c r="A106" s="4"/>
      <c r="B106" s="6" t="s">
        <v>631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0.5</v>
      </c>
      <c r="O106" s="7"/>
      <c r="P106" s="7"/>
      <c r="Q106" s="7"/>
      <c r="R106" s="8">
        <v>0.5</v>
      </c>
    </row>
    <row r="107" spans="1:18">
      <c r="A107" s="4"/>
      <c r="B107" s="6" t="s">
        <v>632</v>
      </c>
      <c r="C107" s="6">
        <v>26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>
        <v>26</v>
      </c>
    </row>
    <row r="108" spans="1:18">
      <c r="A108" s="4"/>
      <c r="B108" s="6" t="s">
        <v>633</v>
      </c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</v>
      </c>
      <c r="R108" s="8">
        <v>2</v>
      </c>
    </row>
    <row r="109" spans="1:18">
      <c r="A109" s="4"/>
      <c r="B109" s="6" t="s">
        <v>634</v>
      </c>
      <c r="C109" s="6">
        <v>132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>
        <v>132</v>
      </c>
    </row>
    <row r="110" spans="1:18">
      <c r="A110" s="4"/>
      <c r="B110" s="6" t="s">
        <v>635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1</v>
      </c>
      <c r="R110" s="8">
        <v>1</v>
      </c>
    </row>
    <row r="111" spans="1:18">
      <c r="A111" s="4"/>
      <c r="B111" s="6" t="s">
        <v>636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3</v>
      </c>
      <c r="R111" s="8">
        <v>3</v>
      </c>
    </row>
    <row r="112" spans="1:18">
      <c r="A112" s="4"/>
      <c r="B112" s="6" t="s">
        <v>637</v>
      </c>
      <c r="C112" s="6">
        <v>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>
        <v>13</v>
      </c>
    </row>
    <row r="113" spans="1:18">
      <c r="A113" s="4"/>
      <c r="B113" s="6" t="s">
        <v>638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11</v>
      </c>
      <c r="Q113" s="7"/>
      <c r="R113" s="8">
        <v>11</v>
      </c>
    </row>
    <row r="114" spans="1:18">
      <c r="A114" s="4"/>
      <c r="B114" s="6" t="s">
        <v>639</v>
      </c>
      <c r="C114" s="6">
        <v>20</v>
      </c>
      <c r="D114" s="7"/>
      <c r="E114" s="7"/>
      <c r="F114" s="7"/>
      <c r="G114" s="7"/>
      <c r="H114" s="7">
        <v>28.3</v>
      </c>
      <c r="I114" s="7"/>
      <c r="J114" s="7">
        <v>19</v>
      </c>
      <c r="K114" s="7"/>
      <c r="L114" s="7">
        <v>149.5</v>
      </c>
      <c r="M114" s="7"/>
      <c r="N114" s="7"/>
      <c r="O114" s="7"/>
      <c r="P114" s="7"/>
      <c r="Q114" s="7"/>
      <c r="R114" s="8">
        <v>216.8</v>
      </c>
    </row>
    <row r="115" spans="1:18">
      <c r="A115" s="4"/>
      <c r="B115" s="6" t="s">
        <v>640</v>
      </c>
      <c r="C115" s="6"/>
      <c r="D115" s="7"/>
      <c r="E115" s="7"/>
      <c r="F115" s="7"/>
      <c r="G115" s="7"/>
      <c r="H115" s="7">
        <v>6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6</v>
      </c>
    </row>
    <row r="116" spans="1:18">
      <c r="A116" s="4"/>
      <c r="B116" s="6" t="s">
        <v>641</v>
      </c>
      <c r="C116" s="6"/>
      <c r="D116" s="7"/>
      <c r="E116" s="7">
        <v>3</v>
      </c>
      <c r="F116" s="7"/>
      <c r="G116" s="7"/>
      <c r="H116" s="7"/>
      <c r="I116" s="7"/>
      <c r="J116" s="7"/>
      <c r="K116" s="7">
        <v>3</v>
      </c>
      <c r="L116" s="7"/>
      <c r="M116" s="7"/>
      <c r="N116" s="7"/>
      <c r="O116" s="7"/>
      <c r="P116" s="7"/>
      <c r="Q116" s="7"/>
      <c r="R116" s="8">
        <v>6</v>
      </c>
    </row>
    <row r="117" spans="1:18">
      <c r="A117" s="4"/>
      <c r="B117" s="6" t="s">
        <v>642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>
        <v>1</v>
      </c>
      <c r="N117" s="7"/>
      <c r="O117" s="7"/>
      <c r="P117" s="7"/>
      <c r="Q117" s="7"/>
      <c r="R117" s="8">
        <v>1</v>
      </c>
    </row>
    <row r="118" spans="1:18">
      <c r="A118" s="4"/>
      <c r="B118" s="6" t="s">
        <v>643</v>
      </c>
      <c r="C118" s="6"/>
      <c r="D118" s="7"/>
      <c r="E118" s="7"/>
      <c r="F118" s="7"/>
      <c r="G118" s="7"/>
      <c r="H118" s="7">
        <v>37</v>
      </c>
      <c r="I118" s="7"/>
      <c r="J118" s="7">
        <v>2</v>
      </c>
      <c r="K118" s="7"/>
      <c r="L118" s="7"/>
      <c r="M118" s="7"/>
      <c r="N118" s="7"/>
      <c r="O118" s="7"/>
      <c r="P118" s="7"/>
      <c r="Q118" s="7"/>
      <c r="R118" s="8">
        <v>39</v>
      </c>
    </row>
    <row r="119" spans="1:18">
      <c r="A119" s="4"/>
      <c r="B119" s="6" t="s">
        <v>644</v>
      </c>
      <c r="C119" s="6"/>
      <c r="D119" s="7"/>
      <c r="E119" s="7"/>
      <c r="F119" s="7"/>
      <c r="G119" s="7"/>
      <c r="H119" s="7">
        <v>40.6</v>
      </c>
      <c r="I119" s="7"/>
      <c r="J119" s="7">
        <v>3</v>
      </c>
      <c r="K119" s="7"/>
      <c r="L119" s="7"/>
      <c r="M119" s="7">
        <v>6</v>
      </c>
      <c r="N119" s="7"/>
      <c r="O119" s="7"/>
      <c r="P119" s="7"/>
      <c r="Q119" s="7"/>
      <c r="R119" s="8">
        <v>49.6</v>
      </c>
    </row>
    <row r="120" spans="1:18">
      <c r="A120" s="4"/>
      <c r="B120" s="6" t="s">
        <v>645</v>
      </c>
      <c r="C120" s="6"/>
      <c r="D120" s="7"/>
      <c r="E120" s="7"/>
      <c r="F120" s="7"/>
      <c r="G120" s="7"/>
      <c r="H120" s="7">
        <v>30</v>
      </c>
      <c r="I120" s="7"/>
      <c r="J120" s="7">
        <v>16</v>
      </c>
      <c r="K120" s="7"/>
      <c r="L120" s="7">
        <v>12</v>
      </c>
      <c r="M120" s="7"/>
      <c r="N120" s="7"/>
      <c r="O120" s="7"/>
      <c r="P120" s="7"/>
      <c r="Q120" s="7"/>
      <c r="R120" s="8">
        <v>58</v>
      </c>
    </row>
    <row r="121" spans="1:18">
      <c r="A121" s="4"/>
      <c r="B121" s="6" t="s">
        <v>646</v>
      </c>
      <c r="C121" s="6"/>
      <c r="D121" s="7"/>
      <c r="E121" s="7"/>
      <c r="F121" s="7"/>
      <c r="G121" s="7"/>
      <c r="H121" s="7"/>
      <c r="I121" s="7"/>
      <c r="J121" s="7"/>
      <c r="K121" s="7"/>
      <c r="L121" s="7">
        <v>6</v>
      </c>
      <c r="M121" s="7"/>
      <c r="N121" s="7"/>
      <c r="O121" s="7"/>
      <c r="P121" s="7">
        <v>5</v>
      </c>
      <c r="Q121" s="7"/>
      <c r="R121" s="8">
        <v>11</v>
      </c>
    </row>
    <row r="122" spans="1:18">
      <c r="A122" s="4"/>
      <c r="B122" s="6" t="s">
        <v>489</v>
      </c>
      <c r="C122" s="6"/>
      <c r="D122" s="7"/>
      <c r="E122" s="7"/>
      <c r="F122" s="7"/>
      <c r="G122" s="7"/>
      <c r="H122" s="7">
        <v>2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2</v>
      </c>
    </row>
    <row r="123" spans="1:18">
      <c r="A123" s="4"/>
      <c r="B123" s="6" t="s">
        <v>647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1</v>
      </c>
      <c r="R123" s="8">
        <v>1</v>
      </c>
    </row>
    <row r="124" spans="1:18">
      <c r="A124" s="4"/>
      <c r="B124" s="6" t="s">
        <v>648</v>
      </c>
      <c r="C124" s="6"/>
      <c r="D124" s="7"/>
      <c r="E124" s="7">
        <v>1</v>
      </c>
      <c r="F124" s="7"/>
      <c r="G124" s="7"/>
      <c r="H124" s="7"/>
      <c r="I124" s="7"/>
      <c r="J124" s="7"/>
      <c r="K124" s="7"/>
      <c r="L124" s="7"/>
      <c r="M124" s="7"/>
      <c r="N124" s="7">
        <v>0.5</v>
      </c>
      <c r="O124" s="7"/>
      <c r="P124" s="7"/>
      <c r="Q124" s="7"/>
      <c r="R124" s="8">
        <v>1.5</v>
      </c>
    </row>
    <row r="125" spans="1:18">
      <c r="A125" s="4"/>
      <c r="B125" s="6" t="s">
        <v>649</v>
      </c>
      <c r="C125" s="6">
        <v>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1</v>
      </c>
    </row>
    <row r="126" spans="1:18">
      <c r="A126" s="4"/>
      <c r="B126" s="6" t="s">
        <v>650</v>
      </c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v>1</v>
      </c>
      <c r="O126" s="7"/>
      <c r="P126" s="7"/>
      <c r="Q126" s="7"/>
      <c r="R126" s="8">
        <v>1</v>
      </c>
    </row>
    <row r="127" spans="1:18">
      <c r="A127" s="4"/>
      <c r="B127" s="6" t="s">
        <v>651</v>
      </c>
      <c r="C127" s="6"/>
      <c r="D127" s="7"/>
      <c r="E127" s="7"/>
      <c r="F127" s="7">
        <v>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>
        <v>6</v>
      </c>
    </row>
    <row r="128" spans="1:18">
      <c r="A128" s="4"/>
      <c r="B128" s="6" t="s">
        <v>652</v>
      </c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</v>
      </c>
      <c r="R128" s="8">
        <v>2</v>
      </c>
    </row>
    <row r="129" spans="1:18">
      <c r="A129" s="4"/>
      <c r="B129" s="6" t="s">
        <v>653</v>
      </c>
      <c r="C129" s="6"/>
      <c r="D129" s="7"/>
      <c r="E129" s="7"/>
      <c r="F129" s="7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3</v>
      </c>
      <c r="R129" s="8">
        <v>19</v>
      </c>
    </row>
    <row r="130" spans="1:18">
      <c r="A130" s="4"/>
      <c r="B130" s="6" t="s">
        <v>654</v>
      </c>
      <c r="C130" s="6"/>
      <c r="D130" s="7"/>
      <c r="E130" s="7"/>
      <c r="F130" s="7"/>
      <c r="G130" s="7"/>
      <c r="H130" s="7">
        <v>4</v>
      </c>
      <c r="I130" s="7"/>
      <c r="J130" s="7"/>
      <c r="K130" s="7"/>
      <c r="L130" s="7"/>
      <c r="M130" s="7"/>
      <c r="N130" s="7"/>
      <c r="O130" s="7"/>
      <c r="P130" s="7"/>
      <c r="Q130" s="7">
        <v>4</v>
      </c>
      <c r="R130" s="8">
        <v>8</v>
      </c>
    </row>
    <row r="131" spans="1:18">
      <c r="A131" s="4"/>
      <c r="B131" s="6" t="s">
        <v>655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7</v>
      </c>
      <c r="R131" s="8">
        <v>7</v>
      </c>
    </row>
    <row r="132" spans="1:18">
      <c r="A132" s="4"/>
      <c r="B132" s="6" t="s">
        <v>656</v>
      </c>
      <c r="C132" s="6"/>
      <c r="D132" s="7"/>
      <c r="E132" s="7"/>
      <c r="F132" s="7"/>
      <c r="G132" s="7"/>
      <c r="H132" s="7">
        <v>1</v>
      </c>
      <c r="I132" s="7"/>
      <c r="J132" s="7"/>
      <c r="K132" s="7"/>
      <c r="L132" s="7"/>
      <c r="M132" s="7"/>
      <c r="N132" s="7"/>
      <c r="O132" s="7"/>
      <c r="P132" s="7"/>
      <c r="Q132" s="7"/>
      <c r="R132" s="8">
        <v>1</v>
      </c>
    </row>
    <row r="133" spans="1:18">
      <c r="A133" s="4"/>
      <c r="B133" s="6" t="s">
        <v>657</v>
      </c>
      <c r="C133" s="6">
        <v>1</v>
      </c>
      <c r="D133" s="7"/>
      <c r="E133" s="7"/>
      <c r="F133" s="7"/>
      <c r="G133" s="7"/>
      <c r="H133" s="7">
        <v>1</v>
      </c>
      <c r="I133" s="7"/>
      <c r="J133" s="7"/>
      <c r="K133" s="7"/>
      <c r="L133" s="7"/>
      <c r="M133" s="7"/>
      <c r="N133" s="7"/>
      <c r="O133" s="7"/>
      <c r="P133" s="7"/>
      <c r="Q133" s="7"/>
      <c r="R133" s="8">
        <v>2</v>
      </c>
    </row>
    <row r="134" spans="1:18">
      <c r="A134" s="4"/>
      <c r="B134" s="6" t="s">
        <v>658</v>
      </c>
      <c r="C134" s="6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>
        <v>4</v>
      </c>
    </row>
    <row r="135" spans="1:18">
      <c r="A135" s="4"/>
      <c r="B135" s="6" t="s">
        <v>659</v>
      </c>
      <c r="C135" s="6"/>
      <c r="D135" s="7"/>
      <c r="E135" s="7"/>
      <c r="F135" s="7"/>
      <c r="G135" s="7"/>
      <c r="H135" s="7">
        <v>6</v>
      </c>
      <c r="I135" s="7"/>
      <c r="J135" s="7"/>
      <c r="K135" s="7"/>
      <c r="L135" s="7"/>
      <c r="M135" s="7"/>
      <c r="N135" s="7"/>
      <c r="O135" s="7"/>
      <c r="P135" s="7"/>
      <c r="Q135" s="7"/>
      <c r="R135" s="8">
        <v>6</v>
      </c>
    </row>
    <row r="136" spans="1:18">
      <c r="A136" s="4"/>
      <c r="B136" s="6" t="s">
        <v>660</v>
      </c>
      <c r="C136" s="6"/>
      <c r="D136" s="7"/>
      <c r="E136" s="7"/>
      <c r="F136" s="7"/>
      <c r="G136" s="7"/>
      <c r="H136" s="7">
        <v>7</v>
      </c>
      <c r="I136" s="7">
        <v>1</v>
      </c>
      <c r="J136" s="7"/>
      <c r="K136" s="7"/>
      <c r="L136" s="7"/>
      <c r="M136" s="7"/>
      <c r="N136" s="7"/>
      <c r="O136" s="7"/>
      <c r="P136" s="7"/>
      <c r="Q136" s="7"/>
      <c r="R136" s="8">
        <v>8</v>
      </c>
    </row>
    <row r="137" spans="1:18">
      <c r="A137" s="4"/>
      <c r="B137" s="6" t="s">
        <v>661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>
        <v>3</v>
      </c>
      <c r="N137" s="7"/>
      <c r="O137" s="7"/>
      <c r="P137" s="7"/>
      <c r="Q137" s="7"/>
      <c r="R137" s="8">
        <v>3</v>
      </c>
    </row>
    <row r="138" spans="1:18">
      <c r="A138" s="4"/>
      <c r="B138" s="6" t="s">
        <v>662</v>
      </c>
      <c r="C138" s="6"/>
      <c r="D138" s="7"/>
      <c r="E138" s="7"/>
      <c r="F138" s="7"/>
      <c r="G138" s="7"/>
      <c r="H138" s="7"/>
      <c r="I138" s="7"/>
      <c r="J138" s="7">
        <v>1</v>
      </c>
      <c r="K138" s="7"/>
      <c r="L138" s="7"/>
      <c r="M138" s="7"/>
      <c r="N138" s="7"/>
      <c r="O138" s="7"/>
      <c r="P138" s="7"/>
      <c r="Q138" s="7"/>
      <c r="R138" s="8">
        <v>1</v>
      </c>
    </row>
    <row r="139" spans="1:18">
      <c r="A139" s="4"/>
      <c r="B139" s="6" t="s">
        <v>663</v>
      </c>
      <c r="C139" s="6"/>
      <c r="D139" s="7"/>
      <c r="E139" s="7"/>
      <c r="F139" s="7"/>
      <c r="G139" s="7"/>
      <c r="H139" s="7">
        <v>3</v>
      </c>
      <c r="I139" s="7"/>
      <c r="J139" s="7"/>
      <c r="K139" s="7"/>
      <c r="L139" s="7"/>
      <c r="M139" s="7"/>
      <c r="N139" s="7"/>
      <c r="O139" s="7"/>
      <c r="P139" s="7"/>
      <c r="Q139" s="7"/>
      <c r="R139" s="8">
        <v>3</v>
      </c>
    </row>
    <row r="140" spans="1:18">
      <c r="A140" s="4"/>
      <c r="B140" s="6" t="s">
        <v>664</v>
      </c>
      <c r="C140" s="6">
        <v>4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>
        <v>4</v>
      </c>
    </row>
    <row r="141" spans="1:18">
      <c r="A141" s="4"/>
      <c r="B141" s="6" t="s">
        <v>665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>
        <v>6</v>
      </c>
      <c r="N141" s="7"/>
      <c r="O141" s="7"/>
      <c r="P141" s="7"/>
      <c r="Q141" s="7"/>
      <c r="R141" s="8">
        <v>6</v>
      </c>
    </row>
    <row r="142" spans="1:18">
      <c r="A142" s="4"/>
      <c r="B142" s="6" t="s">
        <v>666</v>
      </c>
      <c r="C142" s="6"/>
      <c r="D142" s="7"/>
      <c r="E142" s="7"/>
      <c r="F142" s="7"/>
      <c r="G142" s="7"/>
      <c r="H142" s="7">
        <v>4</v>
      </c>
      <c r="I142" s="7"/>
      <c r="J142" s="7"/>
      <c r="K142" s="7"/>
      <c r="L142" s="7"/>
      <c r="M142" s="7">
        <v>7</v>
      </c>
      <c r="N142" s="7"/>
      <c r="O142" s="7"/>
      <c r="P142" s="7"/>
      <c r="Q142" s="7"/>
      <c r="R142" s="8">
        <v>11</v>
      </c>
    </row>
    <row r="143" spans="1:18">
      <c r="A143" s="4"/>
      <c r="B143" s="6" t="s">
        <v>667</v>
      </c>
      <c r="C143" s="6"/>
      <c r="D143" s="7">
        <v>15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>
        <v>15</v>
      </c>
    </row>
    <row r="144" spans="1:18">
      <c r="A144" s="4"/>
      <c r="B144" s="6" t="s">
        <v>668</v>
      </c>
      <c r="C144" s="6"/>
      <c r="D144" s="7">
        <v>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>
        <v>9</v>
      </c>
    </row>
    <row r="145" spans="1:18">
      <c r="A145" s="4"/>
      <c r="B145" s="6" t="s">
        <v>669</v>
      </c>
      <c r="C145" s="6"/>
      <c r="D145" s="7">
        <v>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>
        <v>5</v>
      </c>
    </row>
    <row r="146" spans="1:18">
      <c r="A146" s="4"/>
      <c r="B146" s="5" t="s">
        <v>670</v>
      </c>
      <c r="C146" s="6"/>
      <c r="D146" s="7">
        <v>45</v>
      </c>
      <c r="E146" s="7"/>
      <c r="F146" s="7">
        <v>57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>
        <v>102</v>
      </c>
    </row>
    <row r="147" spans="1:18">
      <c r="A147" s="4"/>
      <c r="B147" s="6" t="s">
        <v>671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45</v>
      </c>
      <c r="R147" s="8">
        <v>45</v>
      </c>
    </row>
    <row r="148" spans="1:18">
      <c r="A148" s="4"/>
      <c r="B148" s="6" t="s">
        <v>672</v>
      </c>
      <c r="C148" s="6"/>
      <c r="D148" s="7"/>
      <c r="E148" s="7"/>
      <c r="F148" s="7"/>
      <c r="G148" s="7">
        <v>14</v>
      </c>
      <c r="H148" s="7"/>
      <c r="I148" s="7"/>
      <c r="J148" s="7"/>
      <c r="K148" s="7"/>
      <c r="L148" s="7"/>
      <c r="M148" s="7"/>
      <c r="N148" s="7"/>
      <c r="O148" s="7"/>
      <c r="P148" s="7"/>
      <c r="Q148" s="7">
        <v>36</v>
      </c>
      <c r="R148" s="8">
        <v>50</v>
      </c>
    </row>
    <row r="149" spans="1:18">
      <c r="A149" s="4"/>
      <c r="B149" s="6" t="s">
        <v>673</v>
      </c>
      <c r="C149" s="6"/>
      <c r="D149" s="7"/>
      <c r="E149" s="7"/>
      <c r="F149" s="7"/>
      <c r="G149" s="7"/>
      <c r="H149" s="7">
        <v>10</v>
      </c>
      <c r="I149" s="7"/>
      <c r="J149" s="7"/>
      <c r="K149" s="7"/>
      <c r="L149" s="7"/>
      <c r="M149" s="7"/>
      <c r="N149" s="7"/>
      <c r="O149" s="7"/>
      <c r="P149" s="7"/>
      <c r="Q149" s="7"/>
      <c r="R149" s="8">
        <v>10</v>
      </c>
    </row>
    <row r="150" spans="1:18">
      <c r="A150" s="4"/>
      <c r="B150" s="6" t="s">
        <v>674</v>
      </c>
      <c r="C150" s="6"/>
      <c r="D150" s="7"/>
      <c r="E150" s="7"/>
      <c r="F150" s="7">
        <v>28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9</v>
      </c>
      <c r="R150" s="8">
        <v>37</v>
      </c>
    </row>
    <row r="151" spans="1:18">
      <c r="A151" s="4"/>
      <c r="B151" s="6" t="s">
        <v>675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20</v>
      </c>
      <c r="R151" s="8">
        <v>20</v>
      </c>
    </row>
    <row r="152" spans="1:18">
      <c r="A152" s="4"/>
      <c r="B152" s="6" t="s">
        <v>676</v>
      </c>
      <c r="C152" s="6"/>
      <c r="D152" s="7"/>
      <c r="E152" s="7"/>
      <c r="F152" s="7"/>
      <c r="G152" s="7"/>
      <c r="H152" s="7">
        <v>8</v>
      </c>
      <c r="I152" s="7"/>
      <c r="J152" s="7"/>
      <c r="K152" s="7"/>
      <c r="L152" s="7"/>
      <c r="M152" s="7"/>
      <c r="N152" s="7"/>
      <c r="O152" s="7"/>
      <c r="P152" s="7"/>
      <c r="Q152" s="7">
        <v>15</v>
      </c>
      <c r="R152" s="8">
        <v>23</v>
      </c>
    </row>
    <row r="153" spans="1:18">
      <c r="A153" s="4"/>
      <c r="B153" s="6" t="s">
        <v>677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13</v>
      </c>
      <c r="R153" s="8">
        <v>13</v>
      </c>
    </row>
    <row r="154" spans="1:18">
      <c r="A154" s="4"/>
      <c r="B154" s="15"/>
      <c r="C154" s="1">
        <v>1017.5</v>
      </c>
      <c r="D154" s="2">
        <v>95.5</v>
      </c>
      <c r="E154" s="2">
        <v>94.5</v>
      </c>
      <c r="F154" s="2">
        <v>177</v>
      </c>
      <c r="G154" s="2">
        <v>27</v>
      </c>
      <c r="H154" s="2">
        <v>1486.1</v>
      </c>
      <c r="I154" s="2">
        <v>45</v>
      </c>
      <c r="J154" s="2">
        <v>195</v>
      </c>
      <c r="K154" s="2">
        <v>65</v>
      </c>
      <c r="L154" s="2">
        <v>308.5</v>
      </c>
      <c r="M154" s="2">
        <v>120</v>
      </c>
      <c r="N154" s="2">
        <v>3</v>
      </c>
      <c r="O154" s="2">
        <v>4</v>
      </c>
      <c r="P154" s="2">
        <v>243.5</v>
      </c>
      <c r="Q154" s="2">
        <v>296</v>
      </c>
      <c r="R154" s="3">
        <v>4177.6000000000004</v>
      </c>
    </row>
    <row r="155" spans="1:18">
      <c r="A155" s="4"/>
      <c r="B155" s="1" t="s">
        <v>362</v>
      </c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</v>
      </c>
      <c r="P155" s="2"/>
      <c r="Q155" s="2"/>
      <c r="R155" s="3">
        <v>2</v>
      </c>
    </row>
    <row r="156" spans="1:18">
      <c r="A156" s="4"/>
      <c r="B156" s="15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2</v>
      </c>
      <c r="P156" s="2"/>
      <c r="Q156" s="2"/>
      <c r="R156" s="3">
        <v>2</v>
      </c>
    </row>
    <row r="157" spans="1:18">
      <c r="A157" s="1" t="s">
        <v>678</v>
      </c>
      <c r="B157" s="15"/>
      <c r="C157" s="1">
        <v>1017.5</v>
      </c>
      <c r="D157" s="2">
        <v>95.5</v>
      </c>
      <c r="E157" s="2">
        <v>94.5</v>
      </c>
      <c r="F157" s="2">
        <v>177</v>
      </c>
      <c r="G157" s="2">
        <v>27</v>
      </c>
      <c r="H157" s="2">
        <v>1486.1</v>
      </c>
      <c r="I157" s="2">
        <v>45</v>
      </c>
      <c r="J157" s="2">
        <v>195</v>
      </c>
      <c r="K157" s="2">
        <v>65</v>
      </c>
      <c r="L157" s="2">
        <v>308.5</v>
      </c>
      <c r="M157" s="2">
        <v>120</v>
      </c>
      <c r="N157" s="2">
        <v>3</v>
      </c>
      <c r="O157" s="2">
        <v>6</v>
      </c>
      <c r="P157" s="2">
        <v>243.5</v>
      </c>
      <c r="Q157" s="2">
        <v>296</v>
      </c>
      <c r="R157" s="3">
        <v>4179.6000000000004</v>
      </c>
    </row>
    <row r="158" spans="1:18">
      <c r="A158" s="9" t="s">
        <v>18</v>
      </c>
      <c r="B158" s="10"/>
      <c r="C158" s="9">
        <v>1017.5</v>
      </c>
      <c r="D158" s="11">
        <v>95.5</v>
      </c>
      <c r="E158" s="11">
        <v>94.5</v>
      </c>
      <c r="F158" s="11">
        <v>177</v>
      </c>
      <c r="G158" s="11">
        <v>27</v>
      </c>
      <c r="H158" s="11">
        <v>1486.1</v>
      </c>
      <c r="I158" s="11">
        <v>45</v>
      </c>
      <c r="J158" s="11">
        <v>195</v>
      </c>
      <c r="K158" s="11">
        <v>65</v>
      </c>
      <c r="L158" s="11">
        <v>308.5</v>
      </c>
      <c r="M158" s="11">
        <v>120</v>
      </c>
      <c r="N158" s="11">
        <v>3</v>
      </c>
      <c r="O158" s="11">
        <v>6</v>
      </c>
      <c r="P158" s="11">
        <v>243.5</v>
      </c>
      <c r="Q158" s="11">
        <v>296</v>
      </c>
      <c r="R158" s="12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679</v>
      </c>
      <c r="B2" s="1" t="s">
        <v>680</v>
      </c>
      <c r="C2" s="1"/>
      <c r="D2" s="2"/>
      <c r="E2" s="2"/>
      <c r="F2" s="2"/>
      <c r="G2" s="2"/>
      <c r="H2" s="2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3">
        <v>8</v>
      </c>
    </row>
    <row r="3" spans="1:19">
      <c r="A3" s="4"/>
      <c r="B3" s="5" t="s">
        <v>681</v>
      </c>
      <c r="C3" s="6">
        <v>117</v>
      </c>
      <c r="D3" s="7">
        <v>14</v>
      </c>
      <c r="E3" s="7">
        <v>31</v>
      </c>
      <c r="F3" s="7">
        <v>26</v>
      </c>
      <c r="G3" s="7">
        <v>99.5</v>
      </c>
      <c r="H3" s="7">
        <v>186.8</v>
      </c>
      <c r="I3" s="7">
        <v>12</v>
      </c>
      <c r="J3" s="7">
        <v>12</v>
      </c>
      <c r="K3" s="7">
        <v>13</v>
      </c>
      <c r="L3" s="7">
        <v>0.5</v>
      </c>
      <c r="M3" s="7"/>
      <c r="N3" s="7">
        <v>5.5</v>
      </c>
      <c r="O3" s="7">
        <v>21</v>
      </c>
      <c r="P3" s="7"/>
      <c r="Q3" s="7"/>
      <c r="R3" s="7">
        <v>49</v>
      </c>
      <c r="S3" s="8">
        <v>587.29999999999995</v>
      </c>
    </row>
    <row r="4" spans="1:19">
      <c r="A4" s="4"/>
      <c r="B4" s="6" t="s">
        <v>682</v>
      </c>
      <c r="C4" s="6"/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>
        <v>1</v>
      </c>
    </row>
    <row r="5" spans="1:19">
      <c r="A5" s="4"/>
      <c r="B5" s="6" t="s">
        <v>683</v>
      </c>
      <c r="C5" s="6"/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8">
        <v>1</v>
      </c>
    </row>
    <row r="6" spans="1:19">
      <c r="A6" s="4"/>
      <c r="B6" s="6" t="s">
        <v>684</v>
      </c>
      <c r="C6" s="6"/>
      <c r="D6" s="7"/>
      <c r="E6" s="7"/>
      <c r="F6" s="7"/>
      <c r="G6" s="7"/>
      <c r="H6" s="7"/>
      <c r="I6" s="7">
        <v>1</v>
      </c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685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8">
        <v>1</v>
      </c>
    </row>
    <row r="8" spans="1:19">
      <c r="A8" s="4"/>
      <c r="B8" s="6" t="s">
        <v>686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8">
        <v>1</v>
      </c>
    </row>
    <row r="9" spans="1:19">
      <c r="A9" s="4"/>
      <c r="B9" s="6" t="s">
        <v>687</v>
      </c>
      <c r="C9" s="6"/>
      <c r="D9" s="7"/>
      <c r="E9" s="7"/>
      <c r="F9" s="7"/>
      <c r="G9" s="7"/>
      <c r="H9" s="7">
        <v>13</v>
      </c>
      <c r="I9" s="7"/>
      <c r="J9" s="7"/>
      <c r="K9" s="7"/>
      <c r="L9" s="7"/>
      <c r="M9" s="7"/>
      <c r="N9" s="7"/>
      <c r="O9" s="7"/>
      <c r="P9" s="7">
        <v>31.7</v>
      </c>
      <c r="Q9" s="7"/>
      <c r="R9" s="7">
        <v>9</v>
      </c>
      <c r="S9" s="8">
        <v>53.7</v>
      </c>
    </row>
    <row r="10" spans="1:19">
      <c r="A10" s="4"/>
      <c r="B10" s="6" t="s">
        <v>688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8">
        <v>1</v>
      </c>
    </row>
    <row r="11" spans="1:19">
      <c r="A11" s="4"/>
      <c r="B11" s="5" t="s">
        <v>689</v>
      </c>
      <c r="C11" s="6"/>
      <c r="D11" s="7"/>
      <c r="E11" s="7"/>
      <c r="F11" s="7"/>
      <c r="G11" s="7">
        <v>18</v>
      </c>
      <c r="H11" s="7"/>
      <c r="I11" s="7"/>
      <c r="J11" s="7"/>
      <c r="K11" s="7"/>
      <c r="L11" s="7"/>
      <c r="M11" s="7">
        <v>2</v>
      </c>
      <c r="N11" s="7"/>
      <c r="O11" s="7"/>
      <c r="P11" s="7"/>
      <c r="Q11" s="7"/>
      <c r="R11" s="7"/>
      <c r="S11" s="8">
        <v>20</v>
      </c>
    </row>
    <row r="12" spans="1:19">
      <c r="A12" s="4"/>
      <c r="B12" s="6" t="s">
        <v>690</v>
      </c>
      <c r="C12" s="6">
        <v>5</v>
      </c>
      <c r="D12" s="7"/>
      <c r="E12" s="7"/>
      <c r="F12" s="7"/>
      <c r="G12" s="7"/>
      <c r="H12" s="7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10</v>
      </c>
    </row>
    <row r="13" spans="1:19">
      <c r="A13" s="4"/>
      <c r="B13" s="6" t="s">
        <v>691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</v>
      </c>
      <c r="S13" s="8">
        <v>2</v>
      </c>
    </row>
    <row r="14" spans="1:19">
      <c r="A14" s="4"/>
      <c r="B14" s="6" t="s">
        <v>692</v>
      </c>
      <c r="C14" s="6"/>
      <c r="D14" s="7"/>
      <c r="E14" s="7"/>
      <c r="F14" s="7"/>
      <c r="G14" s="7">
        <v>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4</v>
      </c>
    </row>
    <row r="15" spans="1:19">
      <c r="A15" s="4"/>
      <c r="B15" s="6" t="s">
        <v>693</v>
      </c>
      <c r="C15" s="6"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2</v>
      </c>
    </row>
    <row r="16" spans="1:19">
      <c r="A16" s="4"/>
      <c r="B16" s="6" t="s">
        <v>694</v>
      </c>
      <c r="C16" s="6"/>
      <c r="D16" s="7"/>
      <c r="E16" s="7"/>
      <c r="F16" s="7"/>
      <c r="G16" s="7"/>
      <c r="H16" s="7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2</v>
      </c>
    </row>
    <row r="17" spans="1:19">
      <c r="A17" s="4"/>
      <c r="B17" s="5" t="s">
        <v>695</v>
      </c>
      <c r="C17" s="6"/>
      <c r="D17" s="7"/>
      <c r="E17" s="7"/>
      <c r="F17" s="7">
        <v>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>
        <v>6</v>
      </c>
    </row>
    <row r="18" spans="1:19">
      <c r="A18" s="4"/>
      <c r="B18" s="6" t="s">
        <v>696</v>
      </c>
      <c r="C18" s="6">
        <v>26</v>
      </c>
      <c r="D18" s="7"/>
      <c r="E18" s="7"/>
      <c r="F18" s="7"/>
      <c r="G18" s="7"/>
      <c r="H18" s="7">
        <v>49</v>
      </c>
      <c r="I18" s="7">
        <v>2</v>
      </c>
      <c r="J18" s="7"/>
      <c r="K18" s="7">
        <v>2</v>
      </c>
      <c r="L18" s="7">
        <v>1</v>
      </c>
      <c r="M18" s="7">
        <v>5</v>
      </c>
      <c r="N18" s="7"/>
      <c r="O18" s="7"/>
      <c r="P18" s="7">
        <v>4</v>
      </c>
      <c r="Q18" s="7"/>
      <c r="R18" s="7">
        <v>6</v>
      </c>
      <c r="S18" s="8">
        <v>95</v>
      </c>
    </row>
    <row r="19" spans="1:19">
      <c r="A19" s="4"/>
      <c r="B19" s="6" t="s">
        <v>697</v>
      </c>
      <c r="C19" s="6"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>
        <v>6</v>
      </c>
    </row>
    <row r="20" spans="1:19">
      <c r="A20" s="4"/>
      <c r="B20" s="6" t="s">
        <v>698</v>
      </c>
      <c r="C20" s="6">
        <v>5</v>
      </c>
      <c r="D20" s="7"/>
      <c r="E20" s="7"/>
      <c r="F20" s="7"/>
      <c r="G20" s="7"/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8">
        <v>6</v>
      </c>
    </row>
    <row r="21" spans="1:19">
      <c r="A21" s="4"/>
      <c r="B21" s="6" t="s">
        <v>699</v>
      </c>
      <c r="C21" s="6">
        <v>4</v>
      </c>
      <c r="D21" s="7">
        <v>2</v>
      </c>
      <c r="E21" s="7"/>
      <c r="F21" s="7">
        <v>4</v>
      </c>
      <c r="G21" s="7"/>
      <c r="H21" s="7">
        <v>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8">
        <v>17</v>
      </c>
    </row>
    <row r="22" spans="1:19">
      <c r="A22" s="4"/>
      <c r="B22" s="6" t="s">
        <v>700</v>
      </c>
      <c r="C22" s="6">
        <v>12</v>
      </c>
      <c r="D22" s="7"/>
      <c r="E22" s="7"/>
      <c r="F22" s="7"/>
      <c r="G22" s="7"/>
      <c r="H22" s="7">
        <v>37.5</v>
      </c>
      <c r="I22" s="7">
        <v>1</v>
      </c>
      <c r="J22" s="7"/>
      <c r="K22" s="7">
        <v>2</v>
      </c>
      <c r="L22" s="7">
        <v>2</v>
      </c>
      <c r="M22" s="7"/>
      <c r="N22" s="7"/>
      <c r="O22" s="7"/>
      <c r="P22" s="7"/>
      <c r="Q22" s="7"/>
      <c r="R22" s="7"/>
      <c r="S22" s="8">
        <v>54.5</v>
      </c>
    </row>
    <row r="23" spans="1:19">
      <c r="A23" s="4"/>
      <c r="B23" s="6" t="s">
        <v>701</v>
      </c>
      <c r="C23" s="6"/>
      <c r="D23" s="7"/>
      <c r="E23" s="7">
        <v>4</v>
      </c>
      <c r="F23" s="7"/>
      <c r="G23" s="7"/>
      <c r="H23" s="7"/>
      <c r="I23" s="7"/>
      <c r="J23" s="7"/>
      <c r="K23" s="7"/>
      <c r="L23" s="7"/>
      <c r="M23" s="7"/>
      <c r="N23" s="7">
        <v>5</v>
      </c>
      <c r="O23" s="7"/>
      <c r="P23" s="7"/>
      <c r="Q23" s="7"/>
      <c r="R23" s="7"/>
      <c r="S23" s="8">
        <v>9</v>
      </c>
    </row>
    <row r="24" spans="1:19">
      <c r="A24" s="4"/>
      <c r="B24" s="6" t="s">
        <v>702</v>
      </c>
      <c r="C24" s="6"/>
      <c r="D24" s="7">
        <v>4</v>
      </c>
      <c r="E24" s="7"/>
      <c r="F24" s="7"/>
      <c r="G24" s="7">
        <v>88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92</v>
      </c>
    </row>
    <row r="25" spans="1:19">
      <c r="A25" s="4"/>
      <c r="B25" s="6" t="s">
        <v>703</v>
      </c>
      <c r="C25" s="6">
        <v>11</v>
      </c>
      <c r="D25" s="7"/>
      <c r="E25" s="7"/>
      <c r="F25" s="7">
        <v>4</v>
      </c>
      <c r="G25" s="7"/>
      <c r="H25" s="7">
        <v>4</v>
      </c>
      <c r="I25" s="7"/>
      <c r="J25" s="7"/>
      <c r="K25" s="7">
        <v>3</v>
      </c>
      <c r="L25" s="7"/>
      <c r="M25" s="7">
        <v>1</v>
      </c>
      <c r="N25" s="7"/>
      <c r="O25" s="7"/>
      <c r="P25" s="7"/>
      <c r="Q25" s="7"/>
      <c r="R25" s="7">
        <v>19</v>
      </c>
      <c r="S25" s="8">
        <v>42</v>
      </c>
    </row>
    <row r="26" spans="1:19">
      <c r="A26" s="4"/>
      <c r="B26" s="5" t="s">
        <v>704</v>
      </c>
      <c r="C26" s="6"/>
      <c r="D26" s="7">
        <v>3</v>
      </c>
      <c r="E26" s="7"/>
      <c r="F26" s="7"/>
      <c r="G26" s="7"/>
      <c r="H26" s="7"/>
      <c r="I26" s="7"/>
      <c r="J26" s="7"/>
      <c r="K26" s="7"/>
      <c r="L26" s="7"/>
      <c r="M26" s="7">
        <v>1</v>
      </c>
      <c r="N26" s="7"/>
      <c r="O26" s="7"/>
      <c r="P26" s="7"/>
      <c r="Q26" s="7"/>
      <c r="R26" s="7"/>
      <c r="S26" s="8">
        <v>4</v>
      </c>
    </row>
    <row r="27" spans="1:19">
      <c r="A27" s="4"/>
      <c r="B27" s="6" t="s">
        <v>705</v>
      </c>
      <c r="C27" s="6">
        <v>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6.8</v>
      </c>
      <c r="R27" s="7">
        <v>1</v>
      </c>
      <c r="S27" s="8">
        <v>9.8000000000000007</v>
      </c>
    </row>
    <row r="28" spans="1:19">
      <c r="A28" s="4"/>
      <c r="B28" s="6" t="s">
        <v>706</v>
      </c>
      <c r="C28" s="6">
        <v>12.5</v>
      </c>
      <c r="D28" s="7"/>
      <c r="E28" s="7"/>
      <c r="F28" s="7">
        <v>8</v>
      </c>
      <c r="G28" s="7"/>
      <c r="H28" s="7">
        <v>5.75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/>
      <c r="S28" s="8">
        <v>27.25</v>
      </c>
    </row>
    <row r="29" spans="1:19">
      <c r="A29" s="4"/>
      <c r="B29" s="6" t="s">
        <v>707</v>
      </c>
      <c r="C29" s="6">
        <v>3</v>
      </c>
      <c r="D29" s="7"/>
      <c r="E29" s="7"/>
      <c r="F29" s="7">
        <v>6</v>
      </c>
      <c r="G29" s="7">
        <v>20.5</v>
      </c>
      <c r="H29" s="7">
        <v>2</v>
      </c>
      <c r="I29" s="7"/>
      <c r="J29" s="7"/>
      <c r="K29" s="7"/>
      <c r="L29" s="7"/>
      <c r="M29" s="7"/>
      <c r="N29" s="7">
        <v>3</v>
      </c>
      <c r="O29" s="7"/>
      <c r="P29" s="7"/>
      <c r="Q29" s="7"/>
      <c r="R29" s="7"/>
      <c r="S29" s="8">
        <v>34.5</v>
      </c>
    </row>
    <row r="30" spans="1:19">
      <c r="A30" s="4"/>
      <c r="B30" s="6" t="s">
        <v>708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0.5</v>
      </c>
      <c r="P30" s="7"/>
      <c r="Q30" s="7"/>
      <c r="R30" s="7"/>
      <c r="S30" s="8">
        <v>0.5</v>
      </c>
    </row>
    <row r="31" spans="1:19">
      <c r="A31" s="9" t="s">
        <v>18</v>
      </c>
      <c r="B31" s="10"/>
      <c r="C31" s="9">
        <v>205.5</v>
      </c>
      <c r="D31" s="11">
        <v>24</v>
      </c>
      <c r="E31" s="11">
        <v>35</v>
      </c>
      <c r="F31" s="11">
        <v>54</v>
      </c>
      <c r="G31" s="11">
        <v>230</v>
      </c>
      <c r="H31" s="11">
        <v>321.05</v>
      </c>
      <c r="I31" s="11">
        <v>17</v>
      </c>
      <c r="J31" s="11">
        <v>12</v>
      </c>
      <c r="K31" s="11">
        <v>20</v>
      </c>
      <c r="L31" s="11">
        <v>4.5</v>
      </c>
      <c r="M31" s="11">
        <v>9</v>
      </c>
      <c r="N31" s="11">
        <v>14.5</v>
      </c>
      <c r="O31" s="11">
        <v>21.5</v>
      </c>
      <c r="P31" s="11">
        <v>36.700000000000003</v>
      </c>
      <c r="Q31" s="11">
        <v>6.8</v>
      </c>
      <c r="R31" s="11">
        <v>87</v>
      </c>
      <c r="S31" s="12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zoomScale="90" zoomScaleNormal="90" workbookViewId="0">
      <pane ySplit="21" topLeftCell="A22" activePane="bottomLeft" state="frozen"/>
      <selection pane="bottomLeft" activeCell="B23" sqref="B23"/>
    </sheetView>
  </sheetViews>
  <sheetFormatPr defaultColWidth="8.85546875" defaultRowHeight="15" outlineLevelRow="1" outlineLevelCol="1"/>
  <cols>
    <col min="1" max="1" width="8.85546875" style="16"/>
    <col min="2" max="2" width="38.42578125" style="16" customWidth="1"/>
    <col min="3" max="3" width="39.28515625" style="16" customWidth="1"/>
    <col min="4" max="4" width="15.28515625" style="16" customWidth="1"/>
    <col min="5" max="6" width="8.7109375" style="16" customWidth="1"/>
    <col min="7" max="8" width="2.42578125" style="16" customWidth="1"/>
    <col min="9" max="10" width="8.85546875" style="16"/>
    <col min="11" max="11" width="13.7109375" style="16" hidden="1" customWidth="1" outlineLevel="1"/>
    <col min="12" max="12" width="8.85546875" style="16" collapsed="1"/>
    <col min="13" max="1024" width="8.85546875" style="16"/>
  </cols>
  <sheetData>
    <row r="1" spans="1:11" s="17" customFormat="1" ht="15" customHeight="1">
      <c r="A1" s="45" t="s">
        <v>709</v>
      </c>
      <c r="B1" s="45"/>
      <c r="C1" s="45"/>
      <c r="D1" s="45"/>
      <c r="E1" s="45"/>
      <c r="F1" s="45"/>
    </row>
    <row r="2" spans="1:11" s="17" customFormat="1" ht="31.9" customHeight="1">
      <c r="A2" s="45" t="s">
        <v>710</v>
      </c>
      <c r="B2" s="45"/>
      <c r="C2" s="45"/>
      <c r="D2" s="45"/>
      <c r="E2" s="45"/>
      <c r="F2" s="45"/>
    </row>
    <row r="3" spans="1:11" s="17" customFormat="1" ht="31.9" customHeight="1">
      <c r="A3" s="45" t="s">
        <v>711</v>
      </c>
      <c r="B3" s="45"/>
      <c r="C3" s="45"/>
      <c r="D3" s="45"/>
      <c r="E3" s="45"/>
      <c r="F3" s="45"/>
    </row>
    <row r="4" spans="1:11" s="17" customFormat="1" ht="15" customHeight="1">
      <c r="A4" s="45" t="s">
        <v>712</v>
      </c>
      <c r="B4" s="45"/>
      <c r="C4" s="45"/>
      <c r="D4" s="45"/>
      <c r="E4" s="45"/>
      <c r="F4" s="45"/>
    </row>
    <row r="5" spans="1:11" s="17" customFormat="1" ht="15" customHeight="1">
      <c r="A5" s="45" t="s">
        <v>713</v>
      </c>
      <c r="B5" s="45"/>
      <c r="C5" s="45"/>
      <c r="D5" s="45"/>
      <c r="E5" s="45"/>
      <c r="F5" s="45"/>
    </row>
    <row r="6" spans="1:11" s="17" customFormat="1" ht="44.45" customHeight="1">
      <c r="A6" s="45" t="s">
        <v>714</v>
      </c>
      <c r="B6" s="45"/>
      <c r="C6" s="45"/>
      <c r="D6" s="45"/>
      <c r="E6" s="45"/>
      <c r="F6" s="45"/>
    </row>
    <row r="7" spans="1:11" s="17" customFormat="1" ht="29.45" customHeight="1">
      <c r="A7" s="45" t="s">
        <v>715</v>
      </c>
      <c r="B7" s="45"/>
      <c r="C7" s="45"/>
      <c r="D7" s="45"/>
      <c r="E7" s="45"/>
      <c r="F7" s="45"/>
    </row>
    <row r="8" spans="1:11" s="17" customFormat="1" ht="15" customHeight="1">
      <c r="A8" s="45" t="s">
        <v>716</v>
      </c>
      <c r="B8" s="45"/>
      <c r="C8" s="45"/>
      <c r="D8" s="45"/>
      <c r="E8" s="45"/>
      <c r="F8" s="45"/>
    </row>
    <row r="11" spans="1:11" hidden="1" outlineLevel="1">
      <c r="A11" s="18"/>
      <c r="B11" s="19" t="s">
        <v>717</v>
      </c>
      <c r="C11" s="20" t="s">
        <v>718</v>
      </c>
      <c r="D11" s="20" t="s">
        <v>719</v>
      </c>
      <c r="K11" s="21">
        <v>0.86</v>
      </c>
    </row>
    <row r="12" spans="1:11" hidden="1" outlineLevel="1">
      <c r="A12" s="18"/>
      <c r="B12" s="19" t="s">
        <v>720</v>
      </c>
      <c r="C12" s="22">
        <f>IFERROR(ROUND(_xlfn.STDEV.S($E:$E),0),"-")</f>
        <v>403</v>
      </c>
      <c r="D12" s="22">
        <f>IFERROR(ROUND(_xlfn.STDEV.S($F:$F),0),"-")</f>
        <v>468</v>
      </c>
      <c r="K12" s="21" t="s">
        <v>721</v>
      </c>
    </row>
    <row r="13" spans="1:11" hidden="1" outlineLevel="1">
      <c r="A13" s="18"/>
      <c r="B13" s="19" t="s">
        <v>722</v>
      </c>
      <c r="C13" s="22">
        <f>IFERROR(ROUND(AVERAGE($E:$E),0),"-")</f>
        <v>1109</v>
      </c>
      <c r="D13" s="22">
        <f>IFERROR(ROUND(AVERAGE($F:$F),0),"-")</f>
        <v>1289</v>
      </c>
      <c r="K13" s="21" t="s">
        <v>723</v>
      </c>
    </row>
    <row r="14" spans="1:11" hidden="1" outlineLevel="1">
      <c r="A14" s="18"/>
      <c r="B14" s="19" t="s">
        <v>724</v>
      </c>
      <c r="C14" s="22">
        <f>IFERROR(ROUND(_xlfn.PERCENTILE.INC($E:$E,0.1),0),"-")</f>
        <v>700</v>
      </c>
      <c r="D14" s="22">
        <f>IFERROR(ROUND(_xlfn.PERCENTILE.INC($F:$F,0.1),0),"-")</f>
        <v>814</v>
      </c>
    </row>
    <row r="15" spans="1:11" hidden="1" outlineLevel="1">
      <c r="A15" s="18"/>
      <c r="B15" s="19" t="s">
        <v>725</v>
      </c>
      <c r="C15" s="22">
        <f>IFERROR(ROUND(_xlfn.QUARTILE.INC($E:$E,1),0),"-")</f>
        <v>850</v>
      </c>
      <c r="D15" s="22">
        <f>IFERROR(ROUND(_xlfn.QUARTILE.INC($F:$F,1),0),"-")</f>
        <v>988</v>
      </c>
    </row>
    <row r="16" spans="1:11" hidden="1" outlineLevel="1">
      <c r="A16" s="18"/>
      <c r="B16" s="19" t="s">
        <v>726</v>
      </c>
      <c r="C16" s="22">
        <f>IFERROR(ROUND(MEDIAN($E:$E),0),"-")</f>
        <v>1000</v>
      </c>
      <c r="D16" s="22">
        <f>IFERROR(ROUND(MEDIAN($F:$F),0),"-")</f>
        <v>1163</v>
      </c>
    </row>
    <row r="17" spans="1:6" hidden="1" outlineLevel="1">
      <c r="A17" s="18"/>
      <c r="B17" s="19" t="s">
        <v>727</v>
      </c>
      <c r="C17" s="22">
        <f>IFERROR(ROUND(_xlfn.QUARTILE.INC($E:$E,3),0),"-")</f>
        <v>1300</v>
      </c>
      <c r="D17" s="22">
        <f>IFERROR(ROUND(_xlfn.QUARTILE.INC($F:$F,3),0),"-")</f>
        <v>1512</v>
      </c>
    </row>
    <row r="18" spans="1:6" hidden="1" outlineLevel="1">
      <c r="A18" s="18"/>
      <c r="B18" s="19" t="s">
        <v>728</v>
      </c>
      <c r="C18" s="22">
        <f>IFERROR(ROUND(_xlfn.PERCENTILE.INC($E:$E,0.9),0),"-")</f>
        <v>1500</v>
      </c>
      <c r="D18" s="22">
        <f>IFERROR(ROUND(_xlfn.PERCENTILE.INC($F:$F,0.9),0),"-")</f>
        <v>1744</v>
      </c>
    </row>
    <row r="19" spans="1:6" hidden="1" outlineLevel="1">
      <c r="A19" s="23"/>
      <c r="B19" s="23"/>
      <c r="C19" s="23"/>
      <c r="D19" s="23"/>
      <c r="E19" s="23"/>
      <c r="F19" s="23"/>
    </row>
    <row r="20" spans="1:6" hidden="1" outlineLevel="1">
      <c r="A20" s="24"/>
      <c r="B20" s="25"/>
      <c r="C20" s="26"/>
      <c r="D20" s="26"/>
      <c r="E20" s="23"/>
      <c r="F20" s="23"/>
    </row>
    <row r="21" spans="1:6" s="28" customFormat="1" ht="31.9" customHeight="1" collapsed="1">
      <c r="A21" s="27" t="s">
        <v>0</v>
      </c>
      <c r="B21" s="27" t="s">
        <v>729</v>
      </c>
      <c r="C21" s="27" t="s">
        <v>730</v>
      </c>
      <c r="D21" s="27" t="s">
        <v>731</v>
      </c>
      <c r="E21" s="27" t="s">
        <v>732</v>
      </c>
      <c r="F21" s="27" t="s">
        <v>733</v>
      </c>
    </row>
    <row r="22" spans="1:6" s="28" customFormat="1" ht="14.25">
      <c r="A22" s="29"/>
      <c r="B22" s="29"/>
      <c r="C22" s="30" t="s">
        <v>473</v>
      </c>
      <c r="D22" s="29"/>
      <c r="E22" s="29"/>
      <c r="F22" s="31"/>
    </row>
    <row r="23" spans="1:6" outlineLevel="1">
      <c r="A23" s="32">
        <v>18</v>
      </c>
      <c r="B23" s="44" t="str">
        <f>HYPERLINK("https://rabota.by/vacancy/51184864","ООО Завод Бульбашъ")</f>
        <v>ООО Завод Бульбашъ</v>
      </c>
      <c r="C23" s="33" t="s">
        <v>473</v>
      </c>
      <c r="D23" s="33" t="s">
        <v>723</v>
      </c>
      <c r="E23" s="33">
        <v>1300</v>
      </c>
      <c r="F23" s="34">
        <f t="shared" ref="F23:F54" si="0">IF(ROUND(E23/$K$11,2)&gt;0,ROUND(E23/$K$11,2),"")</f>
        <v>1511.63</v>
      </c>
    </row>
    <row r="24" spans="1:6" outlineLevel="1">
      <c r="A24" s="32">
        <v>18</v>
      </c>
      <c r="B24" s="44" t="str">
        <f>HYPERLINK("https://rabota.by/vacancy/50939463","ООО Джон Дори")</f>
        <v>ООО Джон Дори</v>
      </c>
      <c r="C24" s="33" t="s">
        <v>473</v>
      </c>
      <c r="D24" s="33" t="s">
        <v>723</v>
      </c>
      <c r="E24" s="33">
        <v>1400</v>
      </c>
      <c r="F24" s="34">
        <f t="shared" si="0"/>
        <v>1627.91</v>
      </c>
    </row>
    <row r="25" spans="1:6" outlineLevel="1">
      <c r="A25" s="32">
        <v>18</v>
      </c>
      <c r="B25" s="44" t="str">
        <f>HYPERLINK("https://rabota.by/vacancy/50932831","ООО Евросторе")</f>
        <v>ООО Евросторе</v>
      </c>
      <c r="C25" s="33" t="s">
        <v>473</v>
      </c>
      <c r="D25" s="33" t="s">
        <v>723</v>
      </c>
      <c r="E25" s="33">
        <v>1300</v>
      </c>
      <c r="F25" s="34">
        <f t="shared" si="0"/>
        <v>1511.63</v>
      </c>
    </row>
    <row r="26" spans="1:6" outlineLevel="1">
      <c r="A26" s="32">
        <v>18</v>
      </c>
      <c r="B26" s="44" t="str">
        <f>HYPERLINK("https://rabota.by/vacancy/51078148","ООО Биомельница")</f>
        <v>ООО Биомельница</v>
      </c>
      <c r="C26" s="33" t="s">
        <v>473</v>
      </c>
      <c r="D26" s="33" t="s">
        <v>723</v>
      </c>
      <c r="E26" s="33">
        <v>750</v>
      </c>
      <c r="F26" s="34">
        <f t="shared" si="0"/>
        <v>872.09</v>
      </c>
    </row>
    <row r="27" spans="1:6" outlineLevel="1">
      <c r="A27" s="32">
        <v>18</v>
      </c>
      <c r="B27" s="44" t="str">
        <f>HYPERLINK("https://rabota.by/vacancy/19835113","ГРИНрозница ГК РАПА")</f>
        <v>ГРИНрозница ГК РАПА</v>
      </c>
      <c r="C27" s="33" t="s">
        <v>473</v>
      </c>
      <c r="D27" s="33" t="s">
        <v>723</v>
      </c>
      <c r="E27" s="33">
        <v>1600</v>
      </c>
      <c r="F27" s="34">
        <f t="shared" si="0"/>
        <v>1860.47</v>
      </c>
    </row>
    <row r="28" spans="1:6" outlineLevel="1">
      <c r="A28" s="32">
        <v>18</v>
      </c>
      <c r="B28" s="44" t="str">
        <f>HYPERLINK("https://rabota.by/vacancy/45645616","ProStore")</f>
        <v>ProStore</v>
      </c>
      <c r="C28" s="33" t="s">
        <v>473</v>
      </c>
      <c r="D28" s="33" t="s">
        <v>723</v>
      </c>
      <c r="E28" s="33">
        <v>1050</v>
      </c>
      <c r="F28" s="34">
        <f t="shared" si="0"/>
        <v>1220.93</v>
      </c>
    </row>
    <row r="29" spans="1:6" outlineLevel="1">
      <c r="A29" s="32">
        <v>18</v>
      </c>
      <c r="B29" s="44" t="str">
        <f>HYPERLINK("https://rabota.by/vacancy/49848237","SPAR")</f>
        <v>SPAR</v>
      </c>
      <c r="C29" s="33" t="s">
        <v>473</v>
      </c>
      <c r="D29" s="33" t="s">
        <v>723</v>
      </c>
      <c r="E29" s="33">
        <v>1700</v>
      </c>
      <c r="F29" s="34">
        <f t="shared" si="0"/>
        <v>1976.74</v>
      </c>
    </row>
    <row r="30" spans="1:6" outlineLevel="1">
      <c r="A30" s="32">
        <v>18</v>
      </c>
      <c r="B30" s="44" t="str">
        <f>HYPERLINK("https://rabota.by/vacancy/36904471","КОРОНА, ЗАМОК Торговые центры")</f>
        <v>КОРОНА, ЗАМОК Торговые центры</v>
      </c>
      <c r="C30" s="33" t="s">
        <v>473</v>
      </c>
      <c r="D30" s="33" t="s">
        <v>723</v>
      </c>
      <c r="E30" s="33">
        <v>1088</v>
      </c>
      <c r="F30" s="34">
        <f t="shared" si="0"/>
        <v>1265.1199999999999</v>
      </c>
    </row>
    <row r="31" spans="1:6" outlineLevel="1">
      <c r="A31" s="32">
        <v>18</v>
      </c>
      <c r="B31" s="44" t="str">
        <f>HYPERLINK("https://rabota.by/vacancy/50694686","ООО Санта Ритейл")</f>
        <v>ООО Санта Ритейл</v>
      </c>
      <c r="C31" s="33" t="s">
        <v>473</v>
      </c>
      <c r="D31" s="33" t="s">
        <v>723</v>
      </c>
      <c r="E31" s="33">
        <v>1020</v>
      </c>
      <c r="F31" s="34">
        <f t="shared" si="0"/>
        <v>1186.05</v>
      </c>
    </row>
    <row r="32" spans="1:6" outlineLevel="1">
      <c r="A32" s="32">
        <v>18</v>
      </c>
      <c r="B32" s="44" t="str">
        <f>HYPERLINK("https://rabota.by/vacancy/46838266","ЗАО Доброном")</f>
        <v>ЗАО Доброном</v>
      </c>
      <c r="C32" s="33" t="s">
        <v>473</v>
      </c>
      <c r="D32" s="33" t="s">
        <v>723</v>
      </c>
      <c r="E32" s="33">
        <v>1400</v>
      </c>
      <c r="F32" s="34">
        <f t="shared" si="0"/>
        <v>1627.91</v>
      </c>
    </row>
    <row r="33" spans="1:6" outlineLevel="1">
      <c r="A33" s="32">
        <v>18</v>
      </c>
      <c r="B33" s="44" t="str">
        <f>HYPERLINK("https://rabota.by/vacancy/51034460","СОСЕДИ, Сеть магазинов")</f>
        <v>СОСЕДИ, Сеть магазинов</v>
      </c>
      <c r="C33" s="33" t="s">
        <v>473</v>
      </c>
      <c r="D33" s="33" t="s">
        <v>723</v>
      </c>
      <c r="E33" s="33">
        <v>1120</v>
      </c>
      <c r="F33" s="34">
        <f t="shared" si="0"/>
        <v>1302.33</v>
      </c>
    </row>
    <row r="34" spans="1:6" outlineLevel="1">
      <c r="A34" s="32">
        <v>18</v>
      </c>
      <c r="B34" s="44" t="str">
        <f>HYPERLINK("https://rabota.by/vacancy/50794552","БЕЛМАРКЕТ")</f>
        <v>БЕЛМАРКЕТ</v>
      </c>
      <c r="C34" s="33" t="s">
        <v>473</v>
      </c>
      <c r="D34" s="33" t="s">
        <v>723</v>
      </c>
      <c r="E34" s="33">
        <v>900</v>
      </c>
      <c r="F34" s="34">
        <f t="shared" si="0"/>
        <v>1046.51</v>
      </c>
    </row>
    <row r="35" spans="1:6" outlineLevel="1">
      <c r="A35" s="32">
        <v>18</v>
      </c>
      <c r="B35" s="44" t="str">
        <f>HYPERLINK("https://rabota.by/vacancy/50577731","ОДО Виталюр")</f>
        <v>ОДО Виталюр</v>
      </c>
      <c r="C35" s="33" t="s">
        <v>473</v>
      </c>
      <c r="D35" s="33" t="s">
        <v>723</v>
      </c>
      <c r="E35" s="33">
        <v>1140</v>
      </c>
      <c r="F35" s="34">
        <f t="shared" si="0"/>
        <v>1325.58</v>
      </c>
    </row>
    <row r="36" spans="1:6" outlineLevel="1">
      <c r="A36" s="32">
        <v>18</v>
      </c>
      <c r="B36" s="44" t="str">
        <f>HYPERLINK("https://rabota.by/vacancy/50707850","ООО СтафРесурс")</f>
        <v>ООО СтафРесурс</v>
      </c>
      <c r="C36" s="33" t="s">
        <v>473</v>
      </c>
      <c r="D36" s="33" t="s">
        <v>723</v>
      </c>
      <c r="E36" s="33">
        <v>1100</v>
      </c>
      <c r="F36" s="34">
        <f t="shared" si="0"/>
        <v>1279.07</v>
      </c>
    </row>
    <row r="37" spans="1:6" outlineLevel="1">
      <c r="A37" s="32">
        <v>18</v>
      </c>
      <c r="B37" s="44" t="str">
        <f>HYPERLINK("https://rabota.by/vacancy/50769119","Серволюкс, Группа компаний")</f>
        <v>Серволюкс, Группа компаний</v>
      </c>
      <c r="C37" s="33" t="s">
        <v>473</v>
      </c>
      <c r="D37" s="33" t="s">
        <v>723</v>
      </c>
      <c r="E37" s="33">
        <v>1000</v>
      </c>
      <c r="F37" s="34">
        <f t="shared" si="0"/>
        <v>1162.79</v>
      </c>
    </row>
    <row r="38" spans="1:6" outlineLevel="1">
      <c r="A38" s="32">
        <v>18</v>
      </c>
      <c r="B38" s="44" t="str">
        <f>HYPERLINK("https://rabota.by/vacancy/43643939","Белвингрупп")</f>
        <v>Белвингрупп</v>
      </c>
      <c r="C38" s="33" t="s">
        <v>473</v>
      </c>
      <c r="D38" s="33" t="s">
        <v>723</v>
      </c>
      <c r="E38" s="33">
        <v>1280</v>
      </c>
      <c r="F38" s="34">
        <f t="shared" si="0"/>
        <v>1488.37</v>
      </c>
    </row>
    <row r="39" spans="1:6" outlineLevel="1">
      <c r="A39" s="32">
        <v>18</v>
      </c>
      <c r="B39" s="44" t="str">
        <f>HYPERLINK("https://rabota.by/vacancy/50912213","Универсам Славянский")</f>
        <v>Универсам Славянский</v>
      </c>
      <c r="C39" s="33" t="s">
        <v>473</v>
      </c>
      <c r="D39" s="33" t="s">
        <v>723</v>
      </c>
      <c r="E39" s="33">
        <v>750</v>
      </c>
      <c r="F39" s="34">
        <f t="shared" si="0"/>
        <v>872.09</v>
      </c>
    </row>
    <row r="40" spans="1:6" outlineLevel="1">
      <c r="A40" s="32">
        <v>18</v>
      </c>
      <c r="B40" s="44" t="str">
        <f>HYPERLINK("https://rabota.by/vacancy/49490034","ООО Ресттрэйд / Дионис")</f>
        <v>ООО Ресттрэйд / Дионис</v>
      </c>
      <c r="C40" s="33" t="s">
        <v>473</v>
      </c>
      <c r="D40" s="33" t="s">
        <v>723</v>
      </c>
      <c r="E40" s="33">
        <v>1100</v>
      </c>
      <c r="F40" s="34">
        <f t="shared" si="0"/>
        <v>1279.07</v>
      </c>
    </row>
    <row r="41" spans="1:6" outlineLevel="1">
      <c r="A41" s="32">
        <v>18</v>
      </c>
      <c r="B41" s="44" t="str">
        <f>HYPERLINK("https://rabota.by/vacancy/42724224","ЕВРООПТ")</f>
        <v>ЕВРООПТ</v>
      </c>
      <c r="C41" s="33" t="s">
        <v>473</v>
      </c>
      <c r="D41" s="33" t="s">
        <v>723</v>
      </c>
      <c r="E41" s="33">
        <v>1050</v>
      </c>
      <c r="F41" s="34">
        <f t="shared" si="0"/>
        <v>1220.93</v>
      </c>
    </row>
    <row r="42" spans="1:6" outlineLevel="1">
      <c r="A42" s="32">
        <v>18</v>
      </c>
      <c r="B42" s="44" t="str">
        <f>HYPERLINK("https://rabota.by/vacancy/51209197","ООО СЛАВПРАЙМ")</f>
        <v>ООО СЛАВПРАЙМ</v>
      </c>
      <c r="C42" s="33" t="s">
        <v>473</v>
      </c>
      <c r="D42" s="33" t="s">
        <v>723</v>
      </c>
      <c r="E42" s="33">
        <v>850</v>
      </c>
      <c r="F42" s="34">
        <f t="shared" si="0"/>
        <v>988.37</v>
      </c>
    </row>
    <row r="43" spans="1:6" outlineLevel="1">
      <c r="A43" s="32">
        <v>18</v>
      </c>
      <c r="B43" s="44" t="str">
        <f>HYPERLINK("https://rabota.by/vacancy/51130673","ООО Дапторрес")</f>
        <v>ООО Дапторрес</v>
      </c>
      <c r="C43" s="33" t="s">
        <v>473</v>
      </c>
      <c r="D43" s="33" t="s">
        <v>723</v>
      </c>
      <c r="E43" s="33">
        <v>1000</v>
      </c>
      <c r="F43" s="34">
        <f t="shared" si="0"/>
        <v>1162.79</v>
      </c>
    </row>
    <row r="44" spans="1:6" outlineLevel="1">
      <c r="A44" s="32">
        <v>18</v>
      </c>
      <c r="B44" s="44" t="str">
        <f>HYPERLINK("https://rabota.by/vacancy/50852660","КОСМОФУД")</f>
        <v>КОСМОФУД</v>
      </c>
      <c r="C44" s="33" t="s">
        <v>473</v>
      </c>
      <c r="D44" s="33" t="s">
        <v>723</v>
      </c>
      <c r="E44" s="33">
        <v>860</v>
      </c>
      <c r="F44" s="34">
        <f t="shared" si="0"/>
        <v>1000</v>
      </c>
    </row>
    <row r="45" spans="1:6" outlineLevel="1">
      <c r="A45" s="32">
        <v>18</v>
      </c>
      <c r="B45" s="44" t="str">
        <f>HYPERLINK("https://rabota.by/vacancy/50857154","АльянсМакМаркет")</f>
        <v>АльянсМакМаркет</v>
      </c>
      <c r="C45" s="33" t="s">
        <v>473</v>
      </c>
      <c r="D45" s="33" t="s">
        <v>723</v>
      </c>
      <c r="E45" s="33">
        <v>1100</v>
      </c>
      <c r="F45" s="34">
        <f t="shared" si="0"/>
        <v>1279.07</v>
      </c>
    </row>
    <row r="46" spans="1:6" outlineLevel="1">
      <c r="A46" s="32">
        <v>18</v>
      </c>
      <c r="B46" s="44" t="str">
        <f>HYPERLINK("https://rabota.by/vacancy/50786807","ООО Первая пивная корпорация")</f>
        <v>ООО Первая пивная корпорация</v>
      </c>
      <c r="C46" s="33" t="s">
        <v>473</v>
      </c>
      <c r="D46" s="33" t="s">
        <v>723</v>
      </c>
      <c r="E46" s="33">
        <v>1000</v>
      </c>
      <c r="F46" s="34">
        <f t="shared" si="0"/>
        <v>1162.79</v>
      </c>
    </row>
    <row r="47" spans="1:6" outlineLevel="1">
      <c r="A47" s="32">
        <v>18</v>
      </c>
      <c r="B47" s="44" t="str">
        <f>HYPERLINK("https://rabota.by/vacancy/49951709","ООО МаркетЛига")</f>
        <v>ООО МаркетЛига</v>
      </c>
      <c r="C47" s="33" t="s">
        <v>473</v>
      </c>
      <c r="D47" s="33" t="s">
        <v>723</v>
      </c>
      <c r="E47" s="33">
        <v>980</v>
      </c>
      <c r="F47" s="34">
        <f t="shared" si="0"/>
        <v>1139.53</v>
      </c>
    </row>
    <row r="48" spans="1:6" outlineLevel="1">
      <c r="A48" s="32">
        <v>18</v>
      </c>
      <c r="B48" s="44" t="str">
        <f>HYPERLINK("https://rabota.by/vacancy/50701295","ОАО Дорорс")</f>
        <v>ОАО Дорорс</v>
      </c>
      <c r="C48" s="33" t="s">
        <v>473</v>
      </c>
      <c r="D48" s="33" t="s">
        <v>723</v>
      </c>
      <c r="E48" s="33">
        <v>750</v>
      </c>
      <c r="F48" s="34">
        <f t="shared" si="0"/>
        <v>872.09</v>
      </c>
    </row>
    <row r="49" spans="1:6" outlineLevel="1">
      <c r="A49" s="32">
        <v>18</v>
      </c>
      <c r="B49" s="44" t="str">
        <f>HYPERLINK("https://rabota.by/vacancy/50870493","ООО ЛЕГИОНКОНСАЛТИНГ")</f>
        <v>ООО ЛЕГИОНКОНСАЛТИНГ</v>
      </c>
      <c r="C49" s="33" t="s">
        <v>473</v>
      </c>
      <c r="D49" s="33" t="s">
        <v>723</v>
      </c>
      <c r="E49" s="33">
        <v>850</v>
      </c>
      <c r="F49" s="34">
        <f t="shared" si="0"/>
        <v>988.37</v>
      </c>
    </row>
    <row r="50" spans="1:6" outlineLevel="1">
      <c r="A50" s="32">
        <v>18</v>
      </c>
      <c r="B50" s="44" t="str">
        <f>HYPERLINK("https://rabota.by/vacancy/50723867","ООО Лект-торг")</f>
        <v>ООО Лект-торг</v>
      </c>
      <c r="C50" s="33" t="s">
        <v>473</v>
      </c>
      <c r="D50" s="33" t="s">
        <v>723</v>
      </c>
      <c r="E50" s="33">
        <v>1100</v>
      </c>
      <c r="F50" s="34">
        <f t="shared" si="0"/>
        <v>1279.07</v>
      </c>
    </row>
    <row r="51" spans="1:6" outlineLevel="1">
      <c r="A51" s="32">
        <v>18</v>
      </c>
      <c r="B51" s="44" t="str">
        <f>HYPERLINK("https://rabota.by/resume/029975ab00055bd08a0013a3fa7a3469383534","Продавец")</f>
        <v>Продавец</v>
      </c>
      <c r="C51" s="33" t="s">
        <v>473</v>
      </c>
      <c r="D51" s="33" t="s">
        <v>721</v>
      </c>
      <c r="E51" s="33">
        <v>2000</v>
      </c>
      <c r="F51" s="34">
        <f t="shared" si="0"/>
        <v>2325.58</v>
      </c>
    </row>
    <row r="52" spans="1:6" outlineLevel="1">
      <c r="A52" s="32">
        <v>18</v>
      </c>
      <c r="B52" s="44" t="str">
        <f>HYPERLINK("https://rabota.by/resume/af06c3070002a0c2f70013a3fa594879775645","Продавец")</f>
        <v>Продавец</v>
      </c>
      <c r="C52" s="33" t="s">
        <v>473</v>
      </c>
      <c r="D52" s="33" t="s">
        <v>721</v>
      </c>
      <c r="E52" s="33">
        <v>1500</v>
      </c>
      <c r="F52" s="34">
        <f t="shared" si="0"/>
        <v>1744.19</v>
      </c>
    </row>
    <row r="53" spans="1:6" outlineLevel="1">
      <c r="A53" s="32">
        <v>18</v>
      </c>
      <c r="B53" s="44" t="str">
        <f>HYPERLINK("https://rabota.by/resume/7bb977db00081fb0aa0013a3fa6c3954627956","Продавец")</f>
        <v>Продавец</v>
      </c>
      <c r="C53" s="33" t="s">
        <v>473</v>
      </c>
      <c r="D53" s="33" t="s">
        <v>721</v>
      </c>
      <c r="E53" s="33">
        <v>1500</v>
      </c>
      <c r="F53" s="34">
        <f t="shared" si="0"/>
        <v>1744.19</v>
      </c>
    </row>
    <row r="54" spans="1:6" outlineLevel="1">
      <c r="A54" s="32">
        <v>18</v>
      </c>
      <c r="B54" s="44" t="str">
        <f>HYPERLINK("https://rabota.by/resume/bdd153c600094e21130013a3fa765737794166","Продавец")</f>
        <v>Продавец</v>
      </c>
      <c r="C54" s="33" t="s">
        <v>473</v>
      </c>
      <c r="D54" s="33" t="s">
        <v>721</v>
      </c>
      <c r="E54" s="33">
        <v>1500</v>
      </c>
      <c r="F54" s="34">
        <f t="shared" si="0"/>
        <v>1744.19</v>
      </c>
    </row>
    <row r="55" spans="1:6" outlineLevel="1">
      <c r="A55" s="32">
        <v>18</v>
      </c>
      <c r="B55" s="44" t="str">
        <f>HYPERLINK("https://rabota.by/resume/e545ede50008778a680013a3fa47414c44496a","Продавец")</f>
        <v>Продавец</v>
      </c>
      <c r="C55" s="33" t="s">
        <v>473</v>
      </c>
      <c r="D55" s="33" t="s">
        <v>721</v>
      </c>
      <c r="E55" s="33">
        <v>1500</v>
      </c>
      <c r="F55" s="34">
        <f t="shared" ref="F55:F82" si="1">IF(ROUND(E55/$K$11,2)&gt;0,ROUND(E55/$K$11,2),"")</f>
        <v>1744.19</v>
      </c>
    </row>
    <row r="56" spans="1:6" outlineLevel="1">
      <c r="A56" s="32">
        <v>18</v>
      </c>
      <c r="B56" s="44" t="str">
        <f>HYPERLINK("https://rabota.by/resume/529112a800091c5bb80013a3fa757859537774","Продавец")</f>
        <v>Продавец</v>
      </c>
      <c r="C56" s="33" t="s">
        <v>473</v>
      </c>
      <c r="D56" s="33" t="s">
        <v>721</v>
      </c>
      <c r="E56" s="33">
        <v>1300</v>
      </c>
      <c r="F56" s="34">
        <f t="shared" si="1"/>
        <v>1511.63</v>
      </c>
    </row>
    <row r="57" spans="1:6" outlineLevel="1">
      <c r="A57" s="32">
        <v>18</v>
      </c>
      <c r="B57" s="44" t="str">
        <f>HYPERLINK("https://rabota.by/resume/744306c00001c9686f0013a3fa6778674b6653","Продавец")</f>
        <v>Продавец</v>
      </c>
      <c r="C57" s="33" t="s">
        <v>473</v>
      </c>
      <c r="D57" s="33" t="s">
        <v>721</v>
      </c>
      <c r="E57" s="33">
        <v>1300</v>
      </c>
      <c r="F57" s="34">
        <f t="shared" si="1"/>
        <v>1511.63</v>
      </c>
    </row>
    <row r="58" spans="1:6" outlineLevel="1">
      <c r="A58" s="32">
        <v>18</v>
      </c>
      <c r="B58" s="44" t="str">
        <f>HYPERLINK("https://rabota.by/resume/aeb534980009639d450013a3fa685a7a794831","Продавец")</f>
        <v>Продавец</v>
      </c>
      <c r="C58" s="33" t="s">
        <v>473</v>
      </c>
      <c r="D58" s="33" t="s">
        <v>721</v>
      </c>
      <c r="E58" s="33">
        <v>1200</v>
      </c>
      <c r="F58" s="34">
        <f t="shared" si="1"/>
        <v>1395.35</v>
      </c>
    </row>
    <row r="59" spans="1:6" outlineLevel="1">
      <c r="A59" s="32">
        <v>18</v>
      </c>
      <c r="B59" s="44" t="str">
        <f>HYPERLINK("https://rabota.by/resume/e5181672000265a8680013a3fa507632426261","Продавец")</f>
        <v>Продавец</v>
      </c>
      <c r="C59" s="33" t="s">
        <v>473</v>
      </c>
      <c r="D59" s="33" t="s">
        <v>721</v>
      </c>
      <c r="E59" s="33">
        <v>1200</v>
      </c>
      <c r="F59" s="34">
        <f t="shared" si="1"/>
        <v>1395.35</v>
      </c>
    </row>
    <row r="60" spans="1:6" outlineLevel="1">
      <c r="A60" s="32">
        <v>18</v>
      </c>
      <c r="B60" s="44" t="str">
        <f>HYPERLINK("https://rabota.by/resume/dda6b923000929c9800013a3fa386d4b503268","Продавец")</f>
        <v>Продавец</v>
      </c>
      <c r="C60" s="33" t="s">
        <v>473</v>
      </c>
      <c r="D60" s="33" t="s">
        <v>721</v>
      </c>
      <c r="E60" s="33">
        <v>1200</v>
      </c>
      <c r="F60" s="34">
        <f t="shared" si="1"/>
        <v>1395.35</v>
      </c>
    </row>
    <row r="61" spans="1:6" outlineLevel="1">
      <c r="A61" s="32">
        <v>18</v>
      </c>
      <c r="B61" s="44" t="str">
        <f>HYPERLINK("https://rabota.by/resume/d2bf3cf40002123ec10013a3fa424c796a5952","Продавец")</f>
        <v>Продавец</v>
      </c>
      <c r="C61" s="33" t="s">
        <v>473</v>
      </c>
      <c r="D61" s="33" t="s">
        <v>721</v>
      </c>
      <c r="E61" s="33">
        <v>1200</v>
      </c>
      <c r="F61" s="34">
        <f t="shared" si="1"/>
        <v>1395.35</v>
      </c>
    </row>
    <row r="62" spans="1:6" outlineLevel="1">
      <c r="A62" s="32">
        <v>18</v>
      </c>
      <c r="B62" s="44" t="str">
        <f>HYPERLINK("https://rabota.by/resume/b21dd5c900013d71c70013a3fa524d46413751","Продавец")</f>
        <v>Продавец</v>
      </c>
      <c r="C62" s="33" t="s">
        <v>473</v>
      </c>
      <c r="D62" s="33" t="s">
        <v>721</v>
      </c>
      <c r="E62" s="33">
        <v>1200</v>
      </c>
      <c r="F62" s="34">
        <f t="shared" si="1"/>
        <v>1395.35</v>
      </c>
    </row>
    <row r="63" spans="1:6" outlineLevel="1">
      <c r="A63" s="32">
        <v>18</v>
      </c>
      <c r="B63" s="44" t="str">
        <f>HYPERLINK("https://rabota.by/resume/cf888da1000997cd610013a3fa50646f396b49","Продавец")</f>
        <v>Продавец</v>
      </c>
      <c r="C63" s="33" t="s">
        <v>473</v>
      </c>
      <c r="D63" s="33" t="s">
        <v>721</v>
      </c>
      <c r="E63" s="33">
        <v>900</v>
      </c>
      <c r="F63" s="34">
        <f t="shared" si="1"/>
        <v>1046.51</v>
      </c>
    </row>
    <row r="64" spans="1:6" outlineLevel="1">
      <c r="A64" s="32">
        <v>18</v>
      </c>
      <c r="B64" s="44" t="str">
        <f>HYPERLINK("https://rabota.by/resume/8b2b92b3000950cbde0013a3fa6e626f567531","Продавец")</f>
        <v>Продавец</v>
      </c>
      <c r="C64" s="33" t="s">
        <v>473</v>
      </c>
      <c r="D64" s="33" t="s">
        <v>721</v>
      </c>
      <c r="E64" s="33">
        <v>900</v>
      </c>
      <c r="F64" s="34">
        <f t="shared" si="1"/>
        <v>1046.51</v>
      </c>
    </row>
    <row r="65" spans="1:6" outlineLevel="1">
      <c r="A65" s="32">
        <v>18</v>
      </c>
      <c r="B65" s="44" t="str">
        <f>HYPERLINK("https://rabota.by/resume/c5056d150007c10bc10013a3fa633944754849","Продавец")</f>
        <v>Продавец</v>
      </c>
      <c r="C65" s="33" t="s">
        <v>473</v>
      </c>
      <c r="D65" s="33" t="s">
        <v>721</v>
      </c>
      <c r="E65" s="33">
        <v>900</v>
      </c>
      <c r="F65" s="34">
        <f t="shared" si="1"/>
        <v>1046.51</v>
      </c>
    </row>
    <row r="66" spans="1:6" outlineLevel="1">
      <c r="A66" s="32">
        <v>18</v>
      </c>
      <c r="B66" s="44" t="str">
        <f>HYPERLINK("https://rabota.by/resume/dc63c454000823e74a0013a3fa633256315a65","Продавец")</f>
        <v>Продавец</v>
      </c>
      <c r="C66" s="33" t="s">
        <v>473</v>
      </c>
      <c r="D66" s="33" t="s">
        <v>721</v>
      </c>
      <c r="E66" s="33">
        <v>900</v>
      </c>
      <c r="F66" s="34">
        <f t="shared" si="1"/>
        <v>1046.51</v>
      </c>
    </row>
    <row r="67" spans="1:6" outlineLevel="1">
      <c r="A67" s="32">
        <v>18</v>
      </c>
      <c r="B67" s="44" t="str">
        <f>HYPERLINK("https://rabota.by/resume/437c0e6400076498610013a3fa6553716e5054","Продавец")</f>
        <v>Продавец</v>
      </c>
      <c r="C67" s="33" t="s">
        <v>473</v>
      </c>
      <c r="D67" s="33" t="s">
        <v>721</v>
      </c>
      <c r="E67" s="33">
        <v>900</v>
      </c>
      <c r="F67" s="34">
        <f t="shared" si="1"/>
        <v>1046.51</v>
      </c>
    </row>
    <row r="68" spans="1:6" outlineLevel="1">
      <c r="A68" s="32">
        <v>18</v>
      </c>
      <c r="B68" s="44" t="str">
        <f>HYPERLINK("https://rabota.by/resume/345e056900081057690013a3fa387a6f504568","Продавец")</f>
        <v>Продавец</v>
      </c>
      <c r="C68" s="33" t="s">
        <v>473</v>
      </c>
      <c r="D68" s="33" t="s">
        <v>721</v>
      </c>
      <c r="E68" s="33">
        <v>900</v>
      </c>
      <c r="F68" s="34">
        <f t="shared" si="1"/>
        <v>1046.51</v>
      </c>
    </row>
    <row r="69" spans="1:6" outlineLevel="1">
      <c r="A69" s="32">
        <v>18</v>
      </c>
      <c r="B69" s="44" t="str">
        <f>HYPERLINK("https://rabota.by/resume/39bbfc72000992ce5d0013a3fa773661555178","Продавец")</f>
        <v>Продавец</v>
      </c>
      <c r="C69" s="33" t="s">
        <v>473</v>
      </c>
      <c r="D69" s="33" t="s">
        <v>721</v>
      </c>
      <c r="E69" s="33">
        <v>900</v>
      </c>
      <c r="F69" s="34">
        <f t="shared" si="1"/>
        <v>1046.51</v>
      </c>
    </row>
    <row r="70" spans="1:6" outlineLevel="1">
      <c r="A70" s="32">
        <v>18</v>
      </c>
      <c r="B70" s="44" t="str">
        <f>HYPERLINK("https://rabota.by/resume/68ae45a4000875301f0013a3fa4a346e357845","Продавец")</f>
        <v>Продавец</v>
      </c>
      <c r="C70" s="33" t="s">
        <v>473</v>
      </c>
      <c r="D70" s="33" t="s">
        <v>721</v>
      </c>
      <c r="E70" s="33">
        <v>900</v>
      </c>
      <c r="F70" s="34">
        <f t="shared" si="1"/>
        <v>1046.51</v>
      </c>
    </row>
    <row r="71" spans="1:6" outlineLevel="1">
      <c r="A71" s="32">
        <v>18</v>
      </c>
      <c r="B71" s="44" t="str">
        <f>HYPERLINK("https://rabota.by/resume/313a08c400085e35210013a3fa376836316b72","Продавец")</f>
        <v>Продавец</v>
      </c>
      <c r="C71" s="33" t="s">
        <v>473</v>
      </c>
      <c r="D71" s="33" t="s">
        <v>721</v>
      </c>
      <c r="E71" s="33">
        <v>900</v>
      </c>
      <c r="F71" s="34">
        <f t="shared" si="1"/>
        <v>1046.51</v>
      </c>
    </row>
    <row r="72" spans="1:6" outlineLevel="1">
      <c r="A72" s="32">
        <v>18</v>
      </c>
      <c r="B72" s="44" t="str">
        <f>HYPERLINK("https://rabota.by/resume/1820b1dd000301b2c00013a3fa566e486c6c66","Продавец")</f>
        <v>Продавец</v>
      </c>
      <c r="C72" s="33" t="s">
        <v>473</v>
      </c>
      <c r="D72" s="33" t="s">
        <v>721</v>
      </c>
      <c r="E72" s="33">
        <v>900</v>
      </c>
      <c r="F72" s="34">
        <f t="shared" si="1"/>
        <v>1046.51</v>
      </c>
    </row>
    <row r="73" spans="1:6" outlineLevel="1">
      <c r="A73" s="32">
        <v>18</v>
      </c>
      <c r="B73" s="44" t="str">
        <f>HYPERLINK("https://rabota.by/resume/f21cef920001e413620013a3fa534c4e303435","Продавец")</f>
        <v>Продавец</v>
      </c>
      <c r="C73" s="33" t="s">
        <v>473</v>
      </c>
      <c r="D73" s="33" t="s">
        <v>721</v>
      </c>
      <c r="E73" s="33">
        <v>900</v>
      </c>
      <c r="F73" s="34">
        <f t="shared" si="1"/>
        <v>1046.51</v>
      </c>
    </row>
    <row r="74" spans="1:6" outlineLevel="1">
      <c r="A74" s="32">
        <v>18</v>
      </c>
      <c r="B74" s="44" t="str">
        <f>HYPERLINK("https://rabota.by/resume/dbfb72f60008995de20013a3fa67434f75366e","Продавец")</f>
        <v>Продавец</v>
      </c>
      <c r="C74" s="33" t="s">
        <v>473</v>
      </c>
      <c r="D74" s="33" t="s">
        <v>721</v>
      </c>
      <c r="E74" s="33">
        <v>700</v>
      </c>
      <c r="F74" s="34">
        <f t="shared" si="1"/>
        <v>813.95</v>
      </c>
    </row>
    <row r="75" spans="1:6" outlineLevel="1">
      <c r="A75" s="32">
        <v>18</v>
      </c>
      <c r="B75" s="44" t="str">
        <f>HYPERLINK("https://rabota.by/resume/96c10bcd0001fbf9f30013a3fa5667724c3969","Продавец")</f>
        <v>Продавец</v>
      </c>
      <c r="C75" s="33" t="s">
        <v>473</v>
      </c>
      <c r="D75" s="33" t="s">
        <v>721</v>
      </c>
      <c r="E75" s="33">
        <v>650</v>
      </c>
      <c r="F75" s="34">
        <f t="shared" si="1"/>
        <v>755.81</v>
      </c>
    </row>
    <row r="76" spans="1:6" outlineLevel="1">
      <c r="A76" s="32">
        <v>18</v>
      </c>
      <c r="B76" s="44" t="str">
        <f>HYPERLINK("https://rabota.by/resume/f64c974400023fd06a0013a3fa796856695332","Продавец")</f>
        <v>Продавец</v>
      </c>
      <c r="C76" s="33" t="s">
        <v>473</v>
      </c>
      <c r="D76" s="33" t="s">
        <v>721</v>
      </c>
      <c r="E76" s="33">
        <v>650</v>
      </c>
      <c r="F76" s="34">
        <f t="shared" si="1"/>
        <v>755.81</v>
      </c>
    </row>
    <row r="77" spans="1:6" outlineLevel="1">
      <c r="A77" s="32">
        <v>18</v>
      </c>
      <c r="B77" s="44" t="str">
        <f>HYPERLINK("https://rabota.by/resume/52d2a34600025bd9930013a3fa514f4e765148","Продавец")</f>
        <v>Продавец</v>
      </c>
      <c r="C77" s="33" t="s">
        <v>473</v>
      </c>
      <c r="D77" s="33" t="s">
        <v>721</v>
      </c>
      <c r="E77" s="33">
        <v>650</v>
      </c>
      <c r="F77" s="34">
        <f t="shared" si="1"/>
        <v>755.81</v>
      </c>
    </row>
    <row r="78" spans="1:6" outlineLevel="1">
      <c r="A78" s="32">
        <v>18</v>
      </c>
      <c r="B78" s="44" t="str">
        <f>HYPERLINK("https://rabota.by/resume/1bb7dcb200053fee370013a3fa4144584b6571","Продавец")</f>
        <v>Продавец</v>
      </c>
      <c r="C78" s="33" t="s">
        <v>473</v>
      </c>
      <c r="D78" s="33" t="s">
        <v>721</v>
      </c>
      <c r="E78" s="33">
        <v>600</v>
      </c>
      <c r="F78" s="34">
        <f t="shared" si="1"/>
        <v>697.67</v>
      </c>
    </row>
    <row r="79" spans="1:6" outlineLevel="1">
      <c r="A79" s="32">
        <v>18</v>
      </c>
      <c r="B79" s="44" t="str">
        <f>HYPERLINK("https://rabota.by/resume/6eb7daba0002e9f3eb0013a3fa5531506b7367","Продавец")</f>
        <v>Продавец</v>
      </c>
      <c r="C79" s="33" t="s">
        <v>473</v>
      </c>
      <c r="D79" s="33" t="s">
        <v>721</v>
      </c>
      <c r="E79" s="33">
        <v>600</v>
      </c>
      <c r="F79" s="34">
        <f t="shared" si="1"/>
        <v>697.67</v>
      </c>
    </row>
    <row r="80" spans="1:6" outlineLevel="1">
      <c r="A80" s="32">
        <v>18</v>
      </c>
      <c r="B80" s="44" t="str">
        <f>HYPERLINK("https://rabota.by/resume/b9293e88000966ae000013a3fa4c4150706c54","Продавец")</f>
        <v>Продавец</v>
      </c>
      <c r="C80" s="33" t="s">
        <v>473</v>
      </c>
      <c r="D80" s="33" t="s">
        <v>721</v>
      </c>
      <c r="E80" s="33">
        <v>500</v>
      </c>
      <c r="F80" s="34">
        <f t="shared" si="1"/>
        <v>581.4</v>
      </c>
    </row>
    <row r="81" spans="1:6" outlineLevel="1">
      <c r="A81" s="32">
        <v>18</v>
      </c>
      <c r="B81" s="44" t="str">
        <f>HYPERLINK("https://rabota.by/resume/728b340a000871d05e0013a3fa305871776449","Продавец")</f>
        <v>Продавец</v>
      </c>
      <c r="C81" s="33" t="s">
        <v>473</v>
      </c>
      <c r="D81" s="33" t="s">
        <v>721</v>
      </c>
      <c r="E81" s="33">
        <v>500</v>
      </c>
      <c r="F81" s="34">
        <f t="shared" si="1"/>
        <v>581.4</v>
      </c>
    </row>
    <row r="82" spans="1:6" outlineLevel="1">
      <c r="A82" s="32">
        <v>18</v>
      </c>
      <c r="B82" s="44" t="str">
        <f>HYPERLINK("https://rabota.by/resume/02219ac40003b1de8d0013a3fa6c7142654a58","Продавец")</f>
        <v>Продавец</v>
      </c>
      <c r="C82" s="33" t="s">
        <v>473</v>
      </c>
      <c r="D82" s="33" t="s">
        <v>721</v>
      </c>
      <c r="E82" s="33">
        <v>400</v>
      </c>
      <c r="F82" s="34">
        <f t="shared" si="1"/>
        <v>465.12</v>
      </c>
    </row>
    <row r="83" spans="1:6">
      <c r="A83" s="35"/>
      <c r="B83" s="35"/>
      <c r="C83" s="36" t="s">
        <v>362</v>
      </c>
      <c r="D83" s="35"/>
      <c r="E83" s="35"/>
      <c r="F83" s="34"/>
    </row>
    <row r="84" spans="1:6" outlineLevel="1">
      <c r="A84" s="32">
        <v>18</v>
      </c>
      <c r="B84" s="44" t="str">
        <f>HYPERLINK("https://rabota.by/vacancy/50330279","APS")</f>
        <v>APS</v>
      </c>
      <c r="C84" s="33" t="s">
        <v>362</v>
      </c>
      <c r="D84" s="33" t="s">
        <v>723</v>
      </c>
      <c r="E84" s="33">
        <v>1000</v>
      </c>
      <c r="F84" s="34">
        <f t="shared" ref="F84:F115" si="2">IF(ROUND(E84/$K$11,2)&gt;0,ROUND(E84/$K$11,2),"")</f>
        <v>1162.79</v>
      </c>
    </row>
    <row r="85" spans="1:6" outlineLevel="1">
      <c r="A85" s="32">
        <v>18</v>
      </c>
      <c r="B85" s="44" t="str">
        <f>HYPERLINK("https://rabota.by/vacancy/51081097","ИЗОМАТ-СТРОЙ")</f>
        <v>ИЗОМАТ-СТРОЙ</v>
      </c>
      <c r="C85" s="33" t="s">
        <v>362</v>
      </c>
      <c r="D85" s="33" t="s">
        <v>723</v>
      </c>
      <c r="E85" s="33">
        <v>1500</v>
      </c>
      <c r="F85" s="34">
        <f t="shared" si="2"/>
        <v>1744.19</v>
      </c>
    </row>
    <row r="86" spans="1:6" outlineLevel="1">
      <c r="A86" s="32">
        <v>18</v>
      </c>
      <c r="B86" s="44" t="str">
        <f>HYPERLINK("https://hh.ru/vacancy/50340286","ООО ВиЯр")</f>
        <v>ООО ВиЯр</v>
      </c>
      <c r="C86" s="33" t="s">
        <v>362</v>
      </c>
      <c r="D86" s="33" t="s">
        <v>723</v>
      </c>
      <c r="E86" s="33">
        <v>1700</v>
      </c>
      <c r="F86" s="34">
        <f t="shared" si="2"/>
        <v>1976.74</v>
      </c>
    </row>
    <row r="87" spans="1:6" outlineLevel="1">
      <c r="A87" s="32">
        <v>18</v>
      </c>
      <c r="B87" s="44" t="str">
        <f>HYPERLINK("https://rabota.by/vacancy/48532444","ТУТ и ТАМ Логистикс")</f>
        <v>ТУТ и ТАМ Логистикс</v>
      </c>
      <c r="C87" s="33" t="s">
        <v>362</v>
      </c>
      <c r="D87" s="33" t="s">
        <v>723</v>
      </c>
      <c r="E87" s="33">
        <v>2300</v>
      </c>
      <c r="F87" s="34">
        <f t="shared" si="2"/>
        <v>2674.42</v>
      </c>
    </row>
    <row r="88" spans="1:6" outlineLevel="1">
      <c r="A88" s="32">
        <v>18</v>
      </c>
      <c r="B88" s="44" t="str">
        <f>HYPERLINK("https://rabota.by/vacancy/50227083","ООО ЕКТ Компани")</f>
        <v>ООО ЕКТ Компани</v>
      </c>
      <c r="C88" s="33" t="s">
        <v>362</v>
      </c>
      <c r="D88" s="33" t="s">
        <v>723</v>
      </c>
      <c r="E88" s="33">
        <v>1500</v>
      </c>
      <c r="F88" s="34">
        <f t="shared" si="2"/>
        <v>1744.19</v>
      </c>
    </row>
    <row r="89" spans="1:6" outlineLevel="1">
      <c r="A89" s="32">
        <v>18</v>
      </c>
      <c r="B89" s="44" t="str">
        <f>HYPERLINK("https://rabota.by/vacancy/50399872","ООО МебельЛэнд-М")</f>
        <v>ООО МебельЛэнд-М</v>
      </c>
      <c r="C89" s="33" t="s">
        <v>362</v>
      </c>
      <c r="D89" s="33" t="s">
        <v>723</v>
      </c>
      <c r="E89" s="33">
        <v>1000</v>
      </c>
      <c r="F89" s="34">
        <f t="shared" si="2"/>
        <v>1162.79</v>
      </c>
    </row>
    <row r="90" spans="1:6" outlineLevel="1">
      <c r="A90" s="32">
        <v>18</v>
      </c>
      <c r="B90" s="44" t="str">
        <f>HYPERLINK("https://rabota.by/vacancy/51106257","МедеяСтиль")</f>
        <v>МедеяСтиль</v>
      </c>
      <c r="C90" s="33" t="s">
        <v>362</v>
      </c>
      <c r="D90" s="33" t="s">
        <v>723</v>
      </c>
      <c r="E90" s="33">
        <v>670</v>
      </c>
      <c r="F90" s="34">
        <f t="shared" si="2"/>
        <v>779.07</v>
      </c>
    </row>
    <row r="91" spans="1:6" outlineLevel="1">
      <c r="A91" s="32">
        <v>18</v>
      </c>
      <c r="B91" s="44" t="str">
        <f>HYPERLINK("https://rabota.by/vacancy/48850501","ООО ОМА")</f>
        <v>ООО ОМА</v>
      </c>
      <c r="C91" s="33" t="s">
        <v>362</v>
      </c>
      <c r="D91" s="33" t="s">
        <v>723</v>
      </c>
      <c r="E91" s="33">
        <v>1265</v>
      </c>
      <c r="F91" s="34">
        <f t="shared" si="2"/>
        <v>1470.93</v>
      </c>
    </row>
    <row r="92" spans="1:6" outlineLevel="1">
      <c r="A92" s="32">
        <v>18</v>
      </c>
      <c r="B92" s="44" t="str">
        <f>HYPERLINK("https://rabota.by/vacancy/51054283","Возим-Бай")</f>
        <v>Возим-Бай</v>
      </c>
      <c r="C92" s="33" t="s">
        <v>362</v>
      </c>
      <c r="D92" s="33" t="s">
        <v>723</v>
      </c>
      <c r="E92" s="33">
        <v>1200</v>
      </c>
      <c r="F92" s="34">
        <f t="shared" si="2"/>
        <v>1395.35</v>
      </c>
    </row>
    <row r="93" spans="1:6" outlineLevel="1">
      <c r="A93" s="32">
        <v>18</v>
      </c>
      <c r="B93" s="44" t="str">
        <f>HYPERLINK("https://rabota.by/vacancy/50784045","ООО Флорсток")</f>
        <v>ООО Флорсток</v>
      </c>
      <c r="C93" s="33" t="s">
        <v>362</v>
      </c>
      <c r="D93" s="33" t="s">
        <v>723</v>
      </c>
      <c r="E93" s="33">
        <v>1250</v>
      </c>
      <c r="F93" s="34">
        <f t="shared" si="2"/>
        <v>1453.49</v>
      </c>
    </row>
    <row r="94" spans="1:6" outlineLevel="1">
      <c r="A94" s="32">
        <v>18</v>
      </c>
      <c r="B94" s="44" t="str">
        <f>HYPERLINK("https://rabota.by/vacancy/42570638","ООО Сэльвин")</f>
        <v>ООО Сэльвин</v>
      </c>
      <c r="C94" s="33" t="s">
        <v>362</v>
      </c>
      <c r="D94" s="33" t="s">
        <v>723</v>
      </c>
      <c r="E94" s="33">
        <v>1100</v>
      </c>
      <c r="F94" s="34">
        <f t="shared" si="2"/>
        <v>1279.07</v>
      </c>
    </row>
    <row r="95" spans="1:6" outlineLevel="1">
      <c r="A95" s="32">
        <v>18</v>
      </c>
      <c r="B95" s="44" t="str">
        <f>HYPERLINK("https://rabota.by/vacancy/49326321","ЗАО МИЛАВИЦА, СП")</f>
        <v>ЗАО МИЛАВИЦА, СП</v>
      </c>
      <c r="C95" s="33" t="s">
        <v>362</v>
      </c>
      <c r="D95" s="33" t="s">
        <v>723</v>
      </c>
      <c r="E95" s="33">
        <v>740</v>
      </c>
      <c r="F95" s="34">
        <f t="shared" si="2"/>
        <v>860.47</v>
      </c>
    </row>
    <row r="96" spans="1:6" outlineLevel="1">
      <c r="A96" s="32">
        <v>18</v>
      </c>
      <c r="B96" s="44" t="str">
        <f>HYPERLINK("https://rabota.by/vacancy/50016168","ООО Безопасность Труда")</f>
        <v>ООО Безопасность Труда</v>
      </c>
      <c r="C96" s="33" t="s">
        <v>362</v>
      </c>
      <c r="D96" s="33" t="s">
        <v>723</v>
      </c>
      <c r="E96" s="33">
        <v>1000</v>
      </c>
      <c r="F96" s="34">
        <f t="shared" si="2"/>
        <v>1162.79</v>
      </c>
    </row>
    <row r="97" spans="1:6" outlineLevel="1">
      <c r="A97" s="32">
        <v>18</v>
      </c>
      <c r="B97" s="44" t="str">
        <f>HYPERLINK("https://rabota.by/vacancy/50257483","ООО Залант Групп")</f>
        <v>ООО Залант Групп</v>
      </c>
      <c r="C97" s="33" t="s">
        <v>362</v>
      </c>
      <c r="D97" s="33" t="s">
        <v>723</v>
      </c>
      <c r="E97" s="33">
        <v>1000</v>
      </c>
      <c r="F97" s="34">
        <f t="shared" si="2"/>
        <v>1162.79</v>
      </c>
    </row>
    <row r="98" spans="1:6" outlineLevel="1">
      <c r="A98" s="32">
        <v>18</v>
      </c>
      <c r="B98" s="44" t="str">
        <f>HYPERLINK("https://rabota.by/vacancy/50793250","ООО БалтСистем")</f>
        <v>ООО БалтСистем</v>
      </c>
      <c r="C98" s="33" t="s">
        <v>362</v>
      </c>
      <c r="D98" s="33" t="s">
        <v>723</v>
      </c>
      <c r="E98" s="33">
        <v>1200</v>
      </c>
      <c r="F98" s="34">
        <f t="shared" si="2"/>
        <v>1395.35</v>
      </c>
    </row>
    <row r="99" spans="1:6" outlineLevel="1">
      <c r="A99" s="32">
        <v>18</v>
      </c>
      <c r="B99" s="44" t="str">
        <f>HYPERLINK("https://rabota.by/vacancy/50840772","Сантехпром")</f>
        <v>Сантехпром</v>
      </c>
      <c r="C99" s="33" t="s">
        <v>362</v>
      </c>
      <c r="D99" s="33" t="s">
        <v>723</v>
      </c>
      <c r="E99" s="33">
        <v>1100</v>
      </c>
      <c r="F99" s="34">
        <f t="shared" si="2"/>
        <v>1279.07</v>
      </c>
    </row>
    <row r="100" spans="1:6" outlineLevel="1">
      <c r="A100" s="32">
        <v>18</v>
      </c>
      <c r="B100" s="44" t="str">
        <f>HYPERLINK("https://rabota.by/vacancy/50908675","ОАО Трикотажторг")</f>
        <v>ОАО Трикотажторг</v>
      </c>
      <c r="C100" s="33" t="s">
        <v>362</v>
      </c>
      <c r="D100" s="33" t="s">
        <v>723</v>
      </c>
      <c r="E100" s="33">
        <v>410</v>
      </c>
      <c r="F100" s="34">
        <f t="shared" si="2"/>
        <v>476.74</v>
      </c>
    </row>
    <row r="101" spans="1:6" outlineLevel="1">
      <c r="A101" s="32">
        <v>18</v>
      </c>
      <c r="B101" s="44" t="str">
        <f>HYPERLINK("https://rabota.by/vacancy/50975909","Ю-Пласт Бел")</f>
        <v>Ю-Пласт Бел</v>
      </c>
      <c r="C101" s="33" t="s">
        <v>362</v>
      </c>
      <c r="D101" s="33" t="s">
        <v>723</v>
      </c>
      <c r="E101" s="33">
        <v>1500</v>
      </c>
      <c r="F101" s="34">
        <f t="shared" si="2"/>
        <v>1744.19</v>
      </c>
    </row>
    <row r="102" spans="1:6" outlineLevel="1">
      <c r="A102" s="32">
        <v>18</v>
      </c>
      <c r="B102" s="44" t="str">
        <f>HYPERLINK("https://rabota.by/vacancy/51206756","ООО СЭЙФТИМ")</f>
        <v>ООО СЭЙФТИМ</v>
      </c>
      <c r="C102" s="33" t="s">
        <v>362</v>
      </c>
      <c r="D102" s="33" t="s">
        <v>723</v>
      </c>
      <c r="E102" s="33">
        <v>1100</v>
      </c>
      <c r="F102" s="34">
        <f t="shared" si="2"/>
        <v>1279.07</v>
      </c>
    </row>
    <row r="103" spans="1:6" outlineLevel="1">
      <c r="A103" s="32">
        <v>18</v>
      </c>
      <c r="B103" s="44" t="str">
        <f>HYPERLINK("https://rabota.by/vacancy/44697312","Группа компаний НП-Сервис")</f>
        <v>Группа компаний НП-Сервис</v>
      </c>
      <c r="C103" s="33" t="s">
        <v>362</v>
      </c>
      <c r="D103" s="33" t="s">
        <v>723</v>
      </c>
      <c r="E103" s="33">
        <v>1375</v>
      </c>
      <c r="F103" s="34">
        <f t="shared" si="2"/>
        <v>1598.84</v>
      </c>
    </row>
    <row r="104" spans="1:6" outlineLevel="1">
      <c r="A104" s="32">
        <v>18</v>
      </c>
      <c r="B104" s="44" t="str">
        <f>HYPERLINK("https://rabota.by/vacancy/50753491","ООО СТБел Плюс")</f>
        <v>ООО СТБел Плюс</v>
      </c>
      <c r="C104" s="33" t="s">
        <v>362</v>
      </c>
      <c r="D104" s="33" t="s">
        <v>723</v>
      </c>
      <c r="E104" s="33">
        <v>1500</v>
      </c>
      <c r="F104" s="34">
        <f t="shared" si="2"/>
        <v>1744.19</v>
      </c>
    </row>
    <row r="105" spans="1:6" outlineLevel="1">
      <c r="A105" s="32">
        <v>18</v>
      </c>
      <c r="B105" s="44" t="str">
        <f>HYPERLINK("https://rabota.by/vacancy/51090298","ООО МЛ Смарт Групп")</f>
        <v>ООО МЛ Смарт Групп</v>
      </c>
      <c r="C105" s="33" t="s">
        <v>362</v>
      </c>
      <c r="D105" s="33" t="s">
        <v>723</v>
      </c>
      <c r="E105" s="33">
        <v>1100</v>
      </c>
      <c r="F105" s="34">
        <f t="shared" si="2"/>
        <v>1279.07</v>
      </c>
    </row>
    <row r="106" spans="1:6" outlineLevel="1">
      <c r="A106" s="32">
        <v>18</v>
      </c>
      <c r="B106" s="44" t="str">
        <f>HYPERLINK("https://rabota.by/vacancy/50850226","Стронгтрейд")</f>
        <v>Стронгтрейд</v>
      </c>
      <c r="C106" s="33" t="s">
        <v>362</v>
      </c>
      <c r="D106" s="33" t="s">
        <v>723</v>
      </c>
      <c r="E106" s="33">
        <v>1200</v>
      </c>
      <c r="F106" s="34">
        <f t="shared" si="2"/>
        <v>1395.35</v>
      </c>
    </row>
    <row r="107" spans="1:6" outlineLevel="1">
      <c r="A107" s="32">
        <v>18</v>
      </c>
      <c r="B107" s="44" t="str">
        <f>HYPERLINK("https://rabota.by/vacancy/50334209","БелАшими")</f>
        <v>БелАшими</v>
      </c>
      <c r="C107" s="33" t="s">
        <v>362</v>
      </c>
      <c r="D107" s="33" t="s">
        <v>723</v>
      </c>
      <c r="E107" s="33">
        <v>1200</v>
      </c>
      <c r="F107" s="34">
        <f t="shared" si="2"/>
        <v>1395.35</v>
      </c>
    </row>
    <row r="108" spans="1:6" outlineLevel="1">
      <c r="A108" s="32">
        <v>18</v>
      </c>
      <c r="B108" s="44" t="str">
        <f>HYPERLINK("https://rabota.by/vacancy/48906993","ООО ВилисБел")</f>
        <v>ООО ВилисБел</v>
      </c>
      <c r="C108" s="33" t="s">
        <v>362</v>
      </c>
      <c r="D108" s="33" t="s">
        <v>723</v>
      </c>
      <c r="E108" s="33">
        <v>1400</v>
      </c>
      <c r="F108" s="34">
        <f t="shared" si="2"/>
        <v>1627.91</v>
      </c>
    </row>
    <row r="109" spans="1:6" outlineLevel="1">
      <c r="A109" s="32">
        <v>18</v>
      </c>
      <c r="B109" s="44" t="str">
        <f>HYPERLINK("https://rabota.by/vacancy/50724266","ОАО ТЛЦ Озерцо-логистик")</f>
        <v>ОАО ТЛЦ Озерцо-логистик</v>
      </c>
      <c r="C109" s="33" t="s">
        <v>362</v>
      </c>
      <c r="D109" s="33" t="s">
        <v>723</v>
      </c>
      <c r="E109" s="33">
        <v>1200</v>
      </c>
      <c r="F109" s="34">
        <f t="shared" si="2"/>
        <v>1395.35</v>
      </c>
    </row>
    <row r="110" spans="1:6" outlineLevel="1">
      <c r="A110" s="32">
        <v>18</v>
      </c>
      <c r="B110" s="44" t="str">
        <f>HYPERLINK("https://rabota.by/vacancy/50781314","ООО ГутеХауз")</f>
        <v>ООО ГутеХауз</v>
      </c>
      <c r="C110" s="33" t="s">
        <v>362</v>
      </c>
      <c r="D110" s="33" t="s">
        <v>723</v>
      </c>
      <c r="E110" s="33">
        <v>1000</v>
      </c>
      <c r="F110" s="34">
        <f t="shared" si="2"/>
        <v>1162.79</v>
      </c>
    </row>
    <row r="111" spans="1:6" outlineLevel="1">
      <c r="A111" s="32">
        <v>18</v>
      </c>
      <c r="B111" s="44" t="str">
        <f>HYPERLINK("https://rabota.by/vacancy/50841575","ООО Тайсу")</f>
        <v>ООО Тайсу</v>
      </c>
      <c r="C111" s="33" t="s">
        <v>362</v>
      </c>
      <c r="D111" s="33" t="s">
        <v>723</v>
      </c>
      <c r="E111" s="33">
        <v>1000</v>
      </c>
      <c r="F111" s="34">
        <f t="shared" si="2"/>
        <v>1162.79</v>
      </c>
    </row>
    <row r="112" spans="1:6" outlineLevel="1">
      <c r="A112" s="32">
        <v>18</v>
      </c>
      <c r="B112" s="44" t="str">
        <f>HYPERLINK("https://rabota.by/resume/81a422ad00096d4cf80013a3fa574c35593832","Кладовщик")</f>
        <v>Кладовщик</v>
      </c>
      <c r="C112" s="33" t="s">
        <v>362</v>
      </c>
      <c r="D112" s="33" t="s">
        <v>721</v>
      </c>
      <c r="E112" s="33">
        <v>2000</v>
      </c>
      <c r="F112" s="34">
        <f t="shared" si="2"/>
        <v>2325.58</v>
      </c>
    </row>
    <row r="113" spans="1:6" outlineLevel="1">
      <c r="A113" s="32">
        <v>18</v>
      </c>
      <c r="B113" s="44" t="str">
        <f>HYPERLINK("https://rabota.by/resume/c9df044c0001b8d1140013a3fa334433444e75","Кладовщик")</f>
        <v>Кладовщик</v>
      </c>
      <c r="C113" s="33" t="s">
        <v>362</v>
      </c>
      <c r="D113" s="33" t="s">
        <v>721</v>
      </c>
      <c r="E113" s="33">
        <v>1800</v>
      </c>
      <c r="F113" s="34">
        <f t="shared" si="2"/>
        <v>2093.02</v>
      </c>
    </row>
    <row r="114" spans="1:6" outlineLevel="1">
      <c r="A114" s="32">
        <v>18</v>
      </c>
      <c r="B114" s="44" t="str">
        <f>HYPERLINK("https://rabota.by/resume/d9f986050005f1940f0013a3fa684f75564c56","Кладовщик")</f>
        <v>Кладовщик</v>
      </c>
      <c r="C114" s="33" t="s">
        <v>362</v>
      </c>
      <c r="D114" s="33" t="s">
        <v>721</v>
      </c>
      <c r="E114" s="33">
        <v>1800</v>
      </c>
      <c r="F114" s="34">
        <f t="shared" si="2"/>
        <v>2093.02</v>
      </c>
    </row>
    <row r="115" spans="1:6" outlineLevel="1">
      <c r="A115" s="32">
        <v>18</v>
      </c>
      <c r="B115" s="44" t="str">
        <f>HYPERLINK("https://rabota.by/resume/da14daaf00033858790013a3fa65777969567a","Кладовщик")</f>
        <v>Кладовщик</v>
      </c>
      <c r="C115" s="33" t="s">
        <v>362</v>
      </c>
      <c r="D115" s="33" t="s">
        <v>721</v>
      </c>
      <c r="E115" s="33">
        <v>1700</v>
      </c>
      <c r="F115" s="34">
        <f t="shared" si="2"/>
        <v>1976.74</v>
      </c>
    </row>
    <row r="116" spans="1:6" outlineLevel="1">
      <c r="A116" s="32">
        <v>18</v>
      </c>
      <c r="B116" s="44" t="str">
        <f>HYPERLINK("https://rabota.by/resume/ba9734d700062325f70013a3fa616f58575673","Кладовщик")</f>
        <v>Кладовщик</v>
      </c>
      <c r="C116" s="33" t="s">
        <v>362</v>
      </c>
      <c r="D116" s="33" t="s">
        <v>721</v>
      </c>
      <c r="E116" s="33">
        <v>1600</v>
      </c>
      <c r="F116" s="34">
        <f t="shared" ref="F116:F143" si="3">IF(ROUND(E116/$K$11,2)&gt;0,ROUND(E116/$K$11,2),"")</f>
        <v>1860.47</v>
      </c>
    </row>
    <row r="117" spans="1:6" outlineLevel="1">
      <c r="A117" s="32">
        <v>18</v>
      </c>
      <c r="B117" s="44" t="str">
        <f>HYPERLINK("https://rabota.by/resume/ba30febb000247f53a0013a3fa4573346c5442","Кладовщик")</f>
        <v>Кладовщик</v>
      </c>
      <c r="C117" s="33" t="s">
        <v>362</v>
      </c>
      <c r="D117" s="33" t="s">
        <v>721</v>
      </c>
      <c r="E117" s="33">
        <v>1600</v>
      </c>
      <c r="F117" s="34">
        <f t="shared" si="3"/>
        <v>1860.47</v>
      </c>
    </row>
    <row r="118" spans="1:6" outlineLevel="1">
      <c r="A118" s="32">
        <v>18</v>
      </c>
      <c r="B118" s="44" t="str">
        <f>HYPERLINK("https://rabota.by/resume/3d80b97e0007d788460013a3fa364a57474231","Кладовщик")</f>
        <v>Кладовщик</v>
      </c>
      <c r="C118" s="33" t="s">
        <v>362</v>
      </c>
      <c r="D118" s="33" t="s">
        <v>721</v>
      </c>
      <c r="E118" s="33">
        <v>1500</v>
      </c>
      <c r="F118" s="34">
        <f t="shared" si="3"/>
        <v>1744.19</v>
      </c>
    </row>
    <row r="119" spans="1:6" outlineLevel="1">
      <c r="A119" s="32">
        <v>18</v>
      </c>
      <c r="B119" s="44" t="str">
        <f>HYPERLINK("https://rabota.by/resume/e03a30c500091b67980013a3fa31506730344b","Кладовщик")</f>
        <v>Кладовщик</v>
      </c>
      <c r="C119" s="33" t="s">
        <v>362</v>
      </c>
      <c r="D119" s="33" t="s">
        <v>721</v>
      </c>
      <c r="E119" s="33">
        <v>1500</v>
      </c>
      <c r="F119" s="34">
        <f t="shared" si="3"/>
        <v>1744.19</v>
      </c>
    </row>
    <row r="120" spans="1:6" outlineLevel="1">
      <c r="A120" s="32">
        <v>18</v>
      </c>
      <c r="B120" s="44" t="str">
        <f>HYPERLINK("https://rabota.by/resume/e63e9354000312f3050013a3fa6e626c365a38","Кладовщик")</f>
        <v>Кладовщик</v>
      </c>
      <c r="C120" s="33" t="s">
        <v>362</v>
      </c>
      <c r="D120" s="33" t="s">
        <v>721</v>
      </c>
      <c r="E120" s="33">
        <v>1500</v>
      </c>
      <c r="F120" s="34">
        <f t="shared" si="3"/>
        <v>1744.19</v>
      </c>
    </row>
    <row r="121" spans="1:6" outlineLevel="1">
      <c r="A121" s="32">
        <v>18</v>
      </c>
      <c r="B121" s="44" t="str">
        <f>HYPERLINK("https://rabota.by/resume/f749610a0008ff41ee0013a3fa74507a704752","Кладовщик")</f>
        <v>Кладовщик</v>
      </c>
      <c r="C121" s="33" t="s">
        <v>362</v>
      </c>
      <c r="D121" s="33" t="s">
        <v>721</v>
      </c>
      <c r="E121" s="33">
        <v>1500</v>
      </c>
      <c r="F121" s="34">
        <f t="shared" si="3"/>
        <v>1744.19</v>
      </c>
    </row>
    <row r="122" spans="1:6" outlineLevel="1">
      <c r="A122" s="32">
        <v>18</v>
      </c>
      <c r="B122" s="44" t="str">
        <f>HYPERLINK("https://rabota.by/resume/bbc71e5c0006139ee60013a3fa654572455450","Кладовщик")</f>
        <v>Кладовщик</v>
      </c>
      <c r="C122" s="33" t="s">
        <v>362</v>
      </c>
      <c r="D122" s="33" t="s">
        <v>721</v>
      </c>
      <c r="E122" s="33">
        <v>1500</v>
      </c>
      <c r="F122" s="34">
        <f t="shared" si="3"/>
        <v>1744.19</v>
      </c>
    </row>
    <row r="123" spans="1:6" outlineLevel="1">
      <c r="A123" s="32">
        <v>18</v>
      </c>
      <c r="B123" s="44" t="str">
        <f>HYPERLINK("https://rabota.by/resume/bbb4fe950005c66bdd0013a3fa52414b674134","Кладовщик")</f>
        <v>Кладовщик</v>
      </c>
      <c r="C123" s="33" t="s">
        <v>362</v>
      </c>
      <c r="D123" s="33" t="s">
        <v>721</v>
      </c>
      <c r="E123" s="33">
        <v>1500</v>
      </c>
      <c r="F123" s="34">
        <f t="shared" si="3"/>
        <v>1744.19</v>
      </c>
    </row>
    <row r="124" spans="1:6" outlineLevel="1">
      <c r="A124" s="32">
        <v>18</v>
      </c>
      <c r="B124" s="44" t="str">
        <f>HYPERLINK("https://rabota.by/resume/205d6f5b0002d844760013a3fa4c6439505673","Кладовщик")</f>
        <v>Кладовщик</v>
      </c>
      <c r="C124" s="33" t="s">
        <v>362</v>
      </c>
      <c r="D124" s="33" t="s">
        <v>721</v>
      </c>
      <c r="E124" s="33">
        <v>1200</v>
      </c>
      <c r="F124" s="34">
        <f t="shared" si="3"/>
        <v>1395.35</v>
      </c>
    </row>
    <row r="125" spans="1:6" outlineLevel="1">
      <c r="A125" s="32">
        <v>18</v>
      </c>
      <c r="B125" s="44" t="str">
        <f>HYPERLINK("https://rabota.by/resume/8f8cfed8000884b9470013a3fa756654456272","Кладовщик")</f>
        <v>Кладовщик</v>
      </c>
      <c r="C125" s="33" t="s">
        <v>362</v>
      </c>
      <c r="D125" s="33" t="s">
        <v>721</v>
      </c>
      <c r="E125" s="33">
        <v>1200</v>
      </c>
      <c r="F125" s="34">
        <f t="shared" si="3"/>
        <v>1395.35</v>
      </c>
    </row>
    <row r="126" spans="1:6" outlineLevel="1">
      <c r="A126" s="32">
        <v>18</v>
      </c>
      <c r="B126" s="44" t="str">
        <f>HYPERLINK("https://rabota.by/resume/da781b7a000997b91f0013a3fa564630715255","Кладовщик")</f>
        <v>Кладовщик</v>
      </c>
      <c r="C126" s="33" t="s">
        <v>362</v>
      </c>
      <c r="D126" s="33" t="s">
        <v>721</v>
      </c>
      <c r="E126" s="33">
        <v>1200</v>
      </c>
      <c r="F126" s="34">
        <f t="shared" si="3"/>
        <v>1395.35</v>
      </c>
    </row>
    <row r="127" spans="1:6" outlineLevel="1">
      <c r="A127" s="32">
        <v>18</v>
      </c>
      <c r="B127" s="44" t="str">
        <f>HYPERLINK("https://rabota.by/resume/0fb9a1f300094de0440013a3fa616445324b32","Кладовщик")</f>
        <v>Кладовщик</v>
      </c>
      <c r="C127" s="33" t="s">
        <v>362</v>
      </c>
      <c r="D127" s="33" t="s">
        <v>721</v>
      </c>
      <c r="E127" s="33">
        <v>1200</v>
      </c>
      <c r="F127" s="34">
        <f t="shared" si="3"/>
        <v>1395.35</v>
      </c>
    </row>
    <row r="128" spans="1:6" outlineLevel="1">
      <c r="A128" s="32">
        <v>18</v>
      </c>
      <c r="B128" s="44" t="str">
        <f>HYPERLINK("https://rabota.by/resume/0d6e636500040da1b20013a3fa5071546c5473","Кладовщик")</f>
        <v>Кладовщик</v>
      </c>
      <c r="C128" s="33" t="s">
        <v>362</v>
      </c>
      <c r="D128" s="33" t="s">
        <v>721</v>
      </c>
      <c r="E128" s="33">
        <v>1200</v>
      </c>
      <c r="F128" s="34">
        <f t="shared" si="3"/>
        <v>1395.35</v>
      </c>
    </row>
    <row r="129" spans="1:6" outlineLevel="1">
      <c r="A129" s="32">
        <v>18</v>
      </c>
      <c r="B129" s="44" t="str">
        <f>HYPERLINK("https://rabota.by/resume/4e1655d6000981a6ea0013a3fa457a42616e69","Кладовщик")</f>
        <v>Кладовщик</v>
      </c>
      <c r="C129" s="33" t="s">
        <v>362</v>
      </c>
      <c r="D129" s="33" t="s">
        <v>721</v>
      </c>
      <c r="E129" s="33">
        <v>1200</v>
      </c>
      <c r="F129" s="34">
        <f t="shared" si="3"/>
        <v>1395.35</v>
      </c>
    </row>
    <row r="130" spans="1:6" outlineLevel="1">
      <c r="A130" s="32">
        <v>18</v>
      </c>
      <c r="B130" s="44" t="str">
        <f>HYPERLINK("https://rabota.by/resume/7c8f8f690008ad94f70013a3fa716155666333","Кладовщик")</f>
        <v>Кладовщик</v>
      </c>
      <c r="C130" s="33" t="s">
        <v>362</v>
      </c>
      <c r="D130" s="33" t="s">
        <v>721</v>
      </c>
      <c r="E130" s="33">
        <v>1200</v>
      </c>
      <c r="F130" s="34">
        <f t="shared" si="3"/>
        <v>1395.35</v>
      </c>
    </row>
    <row r="131" spans="1:6" outlineLevel="1">
      <c r="A131" s="32">
        <v>18</v>
      </c>
      <c r="B131" s="44" t="str">
        <f>HYPERLINK("https://rabota.by/resume/12692a2600097aa2280013a3fa694661525945","Кладовщик")</f>
        <v>Кладовщик</v>
      </c>
      <c r="C131" s="33" t="s">
        <v>362</v>
      </c>
      <c r="D131" s="33" t="s">
        <v>721</v>
      </c>
      <c r="E131" s="33">
        <v>1200</v>
      </c>
      <c r="F131" s="34">
        <f t="shared" si="3"/>
        <v>1395.35</v>
      </c>
    </row>
    <row r="132" spans="1:6" outlineLevel="1">
      <c r="A132" s="32">
        <v>18</v>
      </c>
      <c r="B132" s="44" t="str">
        <f>HYPERLINK("https://rabota.by/resume/6545578d00097e38540013a3fa6d326a67694e","Кладовщик")</f>
        <v>Кладовщик</v>
      </c>
      <c r="C132" s="33" t="s">
        <v>362</v>
      </c>
      <c r="D132" s="33" t="s">
        <v>721</v>
      </c>
      <c r="E132" s="33">
        <v>1150</v>
      </c>
      <c r="F132" s="34">
        <f t="shared" si="3"/>
        <v>1337.21</v>
      </c>
    </row>
    <row r="133" spans="1:6" outlineLevel="1">
      <c r="A133" s="32">
        <v>18</v>
      </c>
      <c r="B133" s="44" t="str">
        <f>HYPERLINK("https://rabota.by/resume/d4cd3c9f000990ebf10013a3fa564a57724a63","Кладовщик")</f>
        <v>Кладовщик</v>
      </c>
      <c r="C133" s="33" t="s">
        <v>362</v>
      </c>
      <c r="D133" s="33" t="s">
        <v>721</v>
      </c>
      <c r="E133" s="33">
        <v>1100</v>
      </c>
      <c r="F133" s="34">
        <f t="shared" si="3"/>
        <v>1279.07</v>
      </c>
    </row>
    <row r="134" spans="1:6" outlineLevel="1">
      <c r="A134" s="32">
        <v>18</v>
      </c>
      <c r="B134" s="44" t="str">
        <f>HYPERLINK("https://rabota.by/resume/b9e5cda900098c75890013a3fa4d654e6f6362","Кладовщик")</f>
        <v>Кладовщик</v>
      </c>
      <c r="C134" s="33" t="s">
        <v>362</v>
      </c>
      <c r="D134" s="33" t="s">
        <v>721</v>
      </c>
      <c r="E134" s="33">
        <v>1100</v>
      </c>
      <c r="F134" s="34">
        <f t="shared" si="3"/>
        <v>1279.07</v>
      </c>
    </row>
    <row r="135" spans="1:6" outlineLevel="1">
      <c r="A135" s="32">
        <v>18</v>
      </c>
      <c r="B135" s="44" t="str">
        <f>HYPERLINK("https://rabota.by/resume/ecbeed4200082f682c0013a3fa494a536c4a73","Кладовщик")</f>
        <v>Кладовщик</v>
      </c>
      <c r="C135" s="33" t="s">
        <v>362</v>
      </c>
      <c r="D135" s="33" t="s">
        <v>721</v>
      </c>
      <c r="E135" s="33">
        <v>800</v>
      </c>
      <c r="F135" s="34">
        <f t="shared" si="3"/>
        <v>930.23</v>
      </c>
    </row>
    <row r="136" spans="1:6" outlineLevel="1">
      <c r="A136" s="32">
        <v>18</v>
      </c>
      <c r="B136" s="44" t="str">
        <f>HYPERLINK("https://rabota.by/resume/a824683600072c7b2c0013a3fa5863566c7432","Кладовщик")</f>
        <v>Кладовщик</v>
      </c>
      <c r="C136" s="33" t="s">
        <v>362</v>
      </c>
      <c r="D136" s="33" t="s">
        <v>721</v>
      </c>
      <c r="E136" s="33">
        <v>800</v>
      </c>
      <c r="F136" s="34">
        <f t="shared" si="3"/>
        <v>930.23</v>
      </c>
    </row>
    <row r="137" spans="1:6" outlineLevel="1">
      <c r="A137" s="32">
        <v>18</v>
      </c>
      <c r="B137" s="44" t="str">
        <f>HYPERLINK("https://rabota.by/resume/5c4433520007203bc50013a3fa3750464c5465","Кладовщик")</f>
        <v>Кладовщик</v>
      </c>
      <c r="C137" s="33" t="s">
        <v>362</v>
      </c>
      <c r="D137" s="33" t="s">
        <v>721</v>
      </c>
      <c r="E137" s="33">
        <v>800</v>
      </c>
      <c r="F137" s="34">
        <f t="shared" si="3"/>
        <v>930.23</v>
      </c>
    </row>
    <row r="138" spans="1:6" outlineLevel="1">
      <c r="A138" s="32">
        <v>18</v>
      </c>
      <c r="B138" s="44" t="str">
        <f>HYPERLINK("https://rabota.by/resume/fcf2ca8900090591350013a3fa6d6e705a6e45","Кладовщик")</f>
        <v>Кладовщик</v>
      </c>
      <c r="C138" s="33" t="s">
        <v>362</v>
      </c>
      <c r="D138" s="33" t="s">
        <v>721</v>
      </c>
      <c r="E138" s="33">
        <v>800</v>
      </c>
      <c r="F138" s="34">
        <f t="shared" si="3"/>
        <v>930.23</v>
      </c>
    </row>
    <row r="139" spans="1:6" outlineLevel="1">
      <c r="A139" s="32">
        <v>18</v>
      </c>
      <c r="B139" s="44" t="str">
        <f>HYPERLINK("https://rabota.by/resume/9b4647ca000964c7300013a3fa414a62664e4b","Кладовщик")</f>
        <v>Кладовщик</v>
      </c>
      <c r="C139" s="33" t="s">
        <v>362</v>
      </c>
      <c r="D139" s="33" t="s">
        <v>721</v>
      </c>
      <c r="E139" s="33">
        <v>800</v>
      </c>
      <c r="F139" s="34">
        <f t="shared" si="3"/>
        <v>930.23</v>
      </c>
    </row>
    <row r="140" spans="1:6" outlineLevel="1">
      <c r="A140" s="32">
        <v>18</v>
      </c>
      <c r="B140" s="44" t="str">
        <f>HYPERLINK("https://rabota.by/resume/5c5303920005aeee2e0013a3fa393953575232","Кладовщик")</f>
        <v>Кладовщик</v>
      </c>
      <c r="C140" s="33" t="s">
        <v>362</v>
      </c>
      <c r="D140" s="33" t="s">
        <v>721</v>
      </c>
      <c r="E140" s="33">
        <v>800</v>
      </c>
      <c r="F140" s="34">
        <f t="shared" si="3"/>
        <v>930.23</v>
      </c>
    </row>
    <row r="141" spans="1:6" outlineLevel="1">
      <c r="A141" s="32">
        <v>18</v>
      </c>
      <c r="B141" s="44" t="str">
        <f>HYPERLINK("https://rabota.by/resume/0f9382be0003f44ede0013a3fa364f5a704d38","Кладовщик")</f>
        <v>Кладовщик</v>
      </c>
      <c r="C141" s="33" t="s">
        <v>362</v>
      </c>
      <c r="D141" s="33" t="s">
        <v>721</v>
      </c>
      <c r="E141" s="33">
        <v>800</v>
      </c>
      <c r="F141" s="34">
        <f t="shared" si="3"/>
        <v>930.23</v>
      </c>
    </row>
    <row r="142" spans="1:6" outlineLevel="1">
      <c r="A142" s="32">
        <v>18</v>
      </c>
      <c r="B142" s="44" t="str">
        <f>HYPERLINK("https://rabota.by/resume/1a57a3f8000846d7300013a3fa507942305a63","Кладовщик")</f>
        <v>Кладовщик</v>
      </c>
      <c r="C142" s="33" t="s">
        <v>362</v>
      </c>
      <c r="D142" s="33" t="s">
        <v>721</v>
      </c>
      <c r="E142" s="33">
        <v>800</v>
      </c>
      <c r="F142" s="34">
        <f t="shared" si="3"/>
        <v>930.23</v>
      </c>
    </row>
    <row r="143" spans="1:6" outlineLevel="1">
      <c r="A143" s="32">
        <v>18</v>
      </c>
      <c r="B143" s="44" t="str">
        <f>HYPERLINK("https://rabota.by/resume/560bbef100079e12280013a3fa324878466146","Кладовщик")</f>
        <v>Кладовщик</v>
      </c>
      <c r="C143" s="33" t="s">
        <v>362</v>
      </c>
      <c r="D143" s="33" t="s">
        <v>721</v>
      </c>
      <c r="E143" s="33">
        <v>700</v>
      </c>
      <c r="F143" s="34">
        <f t="shared" si="3"/>
        <v>813.95</v>
      </c>
    </row>
    <row r="144" spans="1:6">
      <c r="A144" s="35"/>
      <c r="B144" s="35"/>
      <c r="C144" s="36" t="s">
        <v>734</v>
      </c>
      <c r="D144" s="35"/>
      <c r="E144" s="35"/>
      <c r="F144" s="34"/>
    </row>
    <row r="145" spans="1:6" outlineLevel="1">
      <c r="A145" s="32">
        <v>18</v>
      </c>
      <c r="B145" s="44" t="str">
        <f>HYPERLINK("https://rabota.by/vacancy/50797131","ООО Диалог комплект")</f>
        <v>ООО Диалог комплект</v>
      </c>
      <c r="C145" s="33" t="s">
        <v>734</v>
      </c>
      <c r="D145" s="33" t="s">
        <v>723</v>
      </c>
      <c r="E145" s="33">
        <v>2700</v>
      </c>
      <c r="F145" s="34">
        <f t="shared" ref="F145:F176" si="4">IF(ROUND(E145/$K$11,2)&gt;0,ROUND(E145/$K$11,2),"")</f>
        <v>3139.53</v>
      </c>
    </row>
    <row r="146" spans="1:6" outlineLevel="1">
      <c r="A146" s="32">
        <v>18</v>
      </c>
      <c r="B146" s="44" t="str">
        <f>HYPERLINK("https://rabota.by/vacancy/46912474","Молочный гостинец")</f>
        <v>Молочный гостинец</v>
      </c>
      <c r="C146" s="33" t="s">
        <v>734</v>
      </c>
      <c r="D146" s="33" t="s">
        <v>723</v>
      </c>
      <c r="E146" s="33">
        <v>900</v>
      </c>
      <c r="F146" s="34">
        <f t="shared" si="4"/>
        <v>1046.51</v>
      </c>
    </row>
    <row r="147" spans="1:6" outlineLevel="1">
      <c r="A147" s="32">
        <v>18</v>
      </c>
      <c r="B147" s="44" t="str">
        <f>HYPERLINK("https://rabota.by/vacancy/49310335","Онега")</f>
        <v>Онега</v>
      </c>
      <c r="C147" s="33" t="s">
        <v>734</v>
      </c>
      <c r="D147" s="33" t="s">
        <v>723</v>
      </c>
      <c r="E147" s="33">
        <v>1200</v>
      </c>
      <c r="F147" s="34">
        <f t="shared" si="4"/>
        <v>1395.35</v>
      </c>
    </row>
    <row r="148" spans="1:6" outlineLevel="1">
      <c r="A148" s="32">
        <v>18</v>
      </c>
      <c r="B148" s="44" t="str">
        <f>HYPERLINK("https://rabota.by/vacancy/50783950","Инжиниринговая компания МСЛ-Сервис")</f>
        <v>Инжиниринговая компания МСЛ-Сервис</v>
      </c>
      <c r="C148" s="33" t="s">
        <v>734</v>
      </c>
      <c r="D148" s="33" t="s">
        <v>723</v>
      </c>
      <c r="E148" s="33">
        <v>1300</v>
      </c>
      <c r="F148" s="34">
        <f t="shared" si="4"/>
        <v>1511.63</v>
      </c>
    </row>
    <row r="149" spans="1:6" outlineLevel="1">
      <c r="A149" s="32">
        <v>18</v>
      </c>
      <c r="B149" s="44" t="str">
        <f>HYPERLINK("https://rabota.by/vacancy/50789989","ОАО Кондитерская фабрика Слодыч")</f>
        <v>ОАО Кондитерская фабрика Слодыч</v>
      </c>
      <c r="C149" s="33" t="s">
        <v>734</v>
      </c>
      <c r="D149" s="33" t="s">
        <v>723</v>
      </c>
      <c r="E149" s="33">
        <v>1000</v>
      </c>
      <c r="F149" s="34">
        <f t="shared" si="4"/>
        <v>1162.79</v>
      </c>
    </row>
    <row r="150" spans="1:6" outlineLevel="1">
      <c r="A150" s="32">
        <v>18</v>
      </c>
      <c r="B150" s="44" t="str">
        <f>HYPERLINK("https://rabota.by/vacancy/50808598","ОДО Виталюр")</f>
        <v>ОДО Виталюр</v>
      </c>
      <c r="C150" s="33" t="s">
        <v>734</v>
      </c>
      <c r="D150" s="33" t="s">
        <v>723</v>
      </c>
      <c r="E150" s="33">
        <v>1350</v>
      </c>
      <c r="F150" s="34">
        <f t="shared" si="4"/>
        <v>1569.77</v>
      </c>
    </row>
    <row r="151" spans="1:6" outlineLevel="1">
      <c r="A151" s="32">
        <v>18</v>
      </c>
      <c r="B151" s="44" t="str">
        <f>HYPERLINK("https://rabota.by/vacancy/50561429","Республиканский центр повышения квалификации руководящих работников и специалистов лесного хозяйства")</f>
        <v>Республиканский центр повышения квалификации руководящих работников и специалистов лесного хозяйства</v>
      </c>
      <c r="C151" s="33" t="s">
        <v>734</v>
      </c>
      <c r="D151" s="33" t="s">
        <v>723</v>
      </c>
      <c r="E151" s="33">
        <v>950</v>
      </c>
      <c r="F151" s="34">
        <f t="shared" si="4"/>
        <v>1104.6500000000001</v>
      </c>
    </row>
    <row r="152" spans="1:6" outlineLevel="1">
      <c r="A152" s="32">
        <v>18</v>
      </c>
      <c r="B152" s="44" t="str">
        <f>HYPERLINK("https://rabota.by/vacancy/50972944","ГРИНрозница ГК РАПА")</f>
        <v>ГРИНрозница ГК РАПА</v>
      </c>
      <c r="C152" s="33" t="s">
        <v>734</v>
      </c>
      <c r="D152" s="33" t="s">
        <v>723</v>
      </c>
      <c r="E152" s="33">
        <v>1105</v>
      </c>
      <c r="F152" s="34">
        <f t="shared" si="4"/>
        <v>1284.8800000000001</v>
      </c>
    </row>
    <row r="153" spans="1:6" outlineLevel="1">
      <c r="A153" s="32">
        <v>18</v>
      </c>
      <c r="B153" s="44" t="str">
        <f>HYPERLINK("https://rabota.by/vacancy/50684651","ООО Надежная Энергия")</f>
        <v>ООО Надежная Энергия</v>
      </c>
      <c r="C153" s="33" t="s">
        <v>734</v>
      </c>
      <c r="D153" s="33" t="s">
        <v>723</v>
      </c>
      <c r="E153" s="33">
        <v>1000</v>
      </c>
      <c r="F153" s="34">
        <f t="shared" si="4"/>
        <v>1162.79</v>
      </c>
    </row>
    <row r="154" spans="1:6" outlineLevel="1">
      <c r="A154" s="32">
        <v>18</v>
      </c>
      <c r="B154" s="44" t="str">
        <f>HYPERLINK("https://rabota.by/vacancy/50923392","СтэмСервис")</f>
        <v>СтэмСервис</v>
      </c>
      <c r="C154" s="33" t="s">
        <v>734</v>
      </c>
      <c r="D154" s="33" t="s">
        <v>723</v>
      </c>
      <c r="E154" s="33">
        <v>1200</v>
      </c>
      <c r="F154" s="34">
        <f t="shared" si="4"/>
        <v>1395.35</v>
      </c>
    </row>
    <row r="155" spans="1:6" outlineLevel="1">
      <c r="A155" s="32">
        <v>18</v>
      </c>
      <c r="B155" s="44" t="str">
        <f>HYPERLINK("https://rabota.by/vacancy/50793309","СИ-Трейдинг")</f>
        <v>СИ-Трейдинг</v>
      </c>
      <c r="C155" s="33" t="s">
        <v>734</v>
      </c>
      <c r="D155" s="33" t="s">
        <v>723</v>
      </c>
      <c r="E155" s="33">
        <v>2000</v>
      </c>
      <c r="F155" s="34">
        <f t="shared" si="4"/>
        <v>2325.58</v>
      </c>
    </row>
    <row r="156" spans="1:6" outlineLevel="1">
      <c r="A156" s="32">
        <v>18</v>
      </c>
      <c r="B156" s="44" t="str">
        <f>HYPERLINK("https://rabota.by/vacancy/50642074","ООО Отличные люди")</f>
        <v>ООО Отличные люди</v>
      </c>
      <c r="C156" s="33" t="s">
        <v>734</v>
      </c>
      <c r="D156" s="33" t="s">
        <v>723</v>
      </c>
      <c r="E156" s="33">
        <v>2000</v>
      </c>
      <c r="F156" s="34">
        <f t="shared" si="4"/>
        <v>2325.58</v>
      </c>
    </row>
    <row r="157" spans="1:6" outlineLevel="1">
      <c r="A157" s="32">
        <v>18</v>
      </c>
      <c r="B157" s="44" t="str">
        <f>HYPERLINK("https://rabota.by/resume/609f7a04000414746c0013a3fa4175495a4c4e","Слесарь-сантехник")</f>
        <v>Слесарь-сантехник</v>
      </c>
      <c r="C157" s="33" t="s">
        <v>734</v>
      </c>
      <c r="D157" s="33" t="s">
        <v>721</v>
      </c>
      <c r="E157" s="33">
        <v>2200</v>
      </c>
      <c r="F157" s="34">
        <f t="shared" si="4"/>
        <v>2558.14</v>
      </c>
    </row>
    <row r="158" spans="1:6" outlineLevel="1">
      <c r="A158" s="32">
        <v>18</v>
      </c>
      <c r="B158" s="44" t="str">
        <f>HYPERLINK("https://rabota.by/resume/f5c62a0a00096846710013a3fa35505165325a","Слесарь-сантехник")</f>
        <v>Слесарь-сантехник</v>
      </c>
      <c r="C158" s="33" t="s">
        <v>734</v>
      </c>
      <c r="D158" s="33" t="s">
        <v>721</v>
      </c>
      <c r="E158" s="33">
        <v>2000</v>
      </c>
      <c r="F158" s="34">
        <f t="shared" si="4"/>
        <v>2325.58</v>
      </c>
    </row>
    <row r="159" spans="1:6" outlineLevel="1">
      <c r="A159" s="32">
        <v>18</v>
      </c>
      <c r="B159" s="44" t="str">
        <f>HYPERLINK("https://rabota.by/resume/373e64300001eba76d0013a3fa6f58674e724d","Слесарь-сантехник")</f>
        <v>Слесарь-сантехник</v>
      </c>
      <c r="C159" s="33" t="s">
        <v>734</v>
      </c>
      <c r="D159" s="33" t="s">
        <v>721</v>
      </c>
      <c r="E159" s="33">
        <v>1800</v>
      </c>
      <c r="F159" s="34">
        <f t="shared" si="4"/>
        <v>2093.02</v>
      </c>
    </row>
    <row r="160" spans="1:6" outlineLevel="1">
      <c r="A160" s="32">
        <v>18</v>
      </c>
      <c r="B160" s="44" t="str">
        <f>HYPERLINK("https://rabota.by/resume/ade44998000900bc990013a3fa626453497a77","Слесарь-сантехник")</f>
        <v>Слесарь-сантехник</v>
      </c>
      <c r="C160" s="33" t="s">
        <v>734</v>
      </c>
      <c r="D160" s="33" t="s">
        <v>721</v>
      </c>
      <c r="E160" s="33">
        <v>1700</v>
      </c>
      <c r="F160" s="34">
        <f t="shared" si="4"/>
        <v>1976.74</v>
      </c>
    </row>
    <row r="161" spans="1:6" outlineLevel="1">
      <c r="A161" s="32">
        <v>18</v>
      </c>
      <c r="B161" s="44" t="str">
        <f>HYPERLINK("https://rabota.by/resume/27fce866000372d6e20013a3fa68514e31784c","Слесарь-сантехник")</f>
        <v>Слесарь-сантехник</v>
      </c>
      <c r="C161" s="33" t="s">
        <v>734</v>
      </c>
      <c r="D161" s="33" t="s">
        <v>721</v>
      </c>
      <c r="E161" s="33">
        <v>1600</v>
      </c>
      <c r="F161" s="34">
        <f t="shared" si="4"/>
        <v>1860.47</v>
      </c>
    </row>
    <row r="162" spans="1:6" outlineLevel="1">
      <c r="A162" s="32">
        <v>18</v>
      </c>
      <c r="B162" s="44" t="str">
        <f>HYPERLINK("https://rabota.by/resume/49cdc5b200032e884f0013a3fa396b534d3263","Слесарь-сантехник")</f>
        <v>Слесарь-сантехник</v>
      </c>
      <c r="C162" s="33" t="s">
        <v>734</v>
      </c>
      <c r="D162" s="33" t="s">
        <v>721</v>
      </c>
      <c r="E162" s="33">
        <v>1500</v>
      </c>
      <c r="F162" s="34">
        <f t="shared" si="4"/>
        <v>1744.19</v>
      </c>
    </row>
    <row r="163" spans="1:6" outlineLevel="1">
      <c r="A163" s="32">
        <v>18</v>
      </c>
      <c r="B163" s="44" t="str">
        <f>HYPERLINK("https://rabota.by/resume/2e4a179400044e61d30013a3fa547673724f36","Слесарь-сантехник")</f>
        <v>Слесарь-сантехник</v>
      </c>
      <c r="C163" s="33" t="s">
        <v>734</v>
      </c>
      <c r="D163" s="33" t="s">
        <v>721</v>
      </c>
      <c r="E163" s="33">
        <v>1500</v>
      </c>
      <c r="F163" s="34">
        <f t="shared" si="4"/>
        <v>1744.19</v>
      </c>
    </row>
    <row r="164" spans="1:6" outlineLevel="1">
      <c r="A164" s="32">
        <v>18</v>
      </c>
      <c r="B164" s="44" t="str">
        <f>HYPERLINK("https://rabota.by/resume/b6a6c39f000261eb270013a3fa656f676f3653","Слесарь-сантехник")</f>
        <v>Слесарь-сантехник</v>
      </c>
      <c r="C164" s="33" t="s">
        <v>734</v>
      </c>
      <c r="D164" s="33" t="s">
        <v>721</v>
      </c>
      <c r="E164" s="33">
        <v>1500</v>
      </c>
      <c r="F164" s="34">
        <f t="shared" si="4"/>
        <v>1744.19</v>
      </c>
    </row>
    <row r="165" spans="1:6" outlineLevel="1">
      <c r="A165" s="32">
        <v>18</v>
      </c>
      <c r="B165" s="44" t="str">
        <f>HYPERLINK("https://rabota.by/resume/85a2b4ad00017f84060013a3fa4e4963465234","Слесарь-сантехник")</f>
        <v>Слесарь-сантехник</v>
      </c>
      <c r="C165" s="33" t="s">
        <v>734</v>
      </c>
      <c r="D165" s="33" t="s">
        <v>721</v>
      </c>
      <c r="E165" s="33">
        <v>1500</v>
      </c>
      <c r="F165" s="34">
        <f t="shared" si="4"/>
        <v>1744.19</v>
      </c>
    </row>
    <row r="166" spans="1:6" outlineLevel="1">
      <c r="A166" s="32">
        <v>18</v>
      </c>
      <c r="B166" s="44" t="str">
        <f>HYPERLINK("https://rabota.by/resume/477e60e50008a8eb5d0013a3fa446c6a424178","Слесарь-сантехник")</f>
        <v>Слесарь-сантехник</v>
      </c>
      <c r="C166" s="33" t="s">
        <v>734</v>
      </c>
      <c r="D166" s="33" t="s">
        <v>721</v>
      </c>
      <c r="E166" s="33">
        <v>1400</v>
      </c>
      <c r="F166" s="34">
        <f t="shared" si="4"/>
        <v>1627.91</v>
      </c>
    </row>
    <row r="167" spans="1:6" outlineLevel="1">
      <c r="A167" s="32">
        <v>18</v>
      </c>
      <c r="B167" s="44" t="str">
        <f>HYPERLINK("https://rabota.by/resume/eff385c30008163abb0013a3fa4a534f313138","Слесарь-сантехник")</f>
        <v>Слесарь-сантехник</v>
      </c>
      <c r="C167" s="33" t="s">
        <v>734</v>
      </c>
      <c r="D167" s="33" t="s">
        <v>721</v>
      </c>
      <c r="E167" s="33">
        <v>1200</v>
      </c>
      <c r="F167" s="34">
        <f t="shared" si="4"/>
        <v>1395.35</v>
      </c>
    </row>
    <row r="168" spans="1:6" outlineLevel="1">
      <c r="A168" s="32">
        <v>18</v>
      </c>
      <c r="B168" s="44" t="str">
        <f>HYPERLINK("https://rabota.by/resume/d60df8f50009627ab30013a3fa4b324870314f","Слесарь-сантехник")</f>
        <v>Слесарь-сантехник</v>
      </c>
      <c r="C168" s="33" t="s">
        <v>734</v>
      </c>
      <c r="D168" s="33" t="s">
        <v>721</v>
      </c>
      <c r="E168" s="33">
        <v>1200</v>
      </c>
      <c r="F168" s="34">
        <f t="shared" si="4"/>
        <v>1395.35</v>
      </c>
    </row>
    <row r="169" spans="1:6" outlineLevel="1">
      <c r="A169" s="32">
        <v>18</v>
      </c>
      <c r="B169" s="44" t="str">
        <f>HYPERLINK("https://rabota.by/resume/9502a7a80001f92a530013a3fa366c68754643","Слесарь-сантехник")</f>
        <v>Слесарь-сантехник</v>
      </c>
      <c r="C169" s="33" t="s">
        <v>734</v>
      </c>
      <c r="D169" s="33" t="s">
        <v>721</v>
      </c>
      <c r="E169" s="33">
        <v>1200</v>
      </c>
      <c r="F169" s="34">
        <f t="shared" si="4"/>
        <v>1395.35</v>
      </c>
    </row>
    <row r="170" spans="1:6" outlineLevel="1">
      <c r="A170" s="32">
        <v>18</v>
      </c>
      <c r="B170" s="44" t="str">
        <f>HYPERLINK("https://rabota.by/resume/9def492700098a1a100013a3fa6c5271343142","Слесарь-сантехник")</f>
        <v>Слесарь-сантехник</v>
      </c>
      <c r="C170" s="33" t="s">
        <v>734</v>
      </c>
      <c r="D170" s="33" t="s">
        <v>721</v>
      </c>
      <c r="E170" s="33">
        <v>1200</v>
      </c>
      <c r="F170" s="34">
        <f t="shared" si="4"/>
        <v>1395.35</v>
      </c>
    </row>
    <row r="171" spans="1:6" outlineLevel="1">
      <c r="A171" s="32">
        <v>18</v>
      </c>
      <c r="B171" s="44" t="str">
        <f>HYPERLINK("https://rabota.by/resume/83e346d000086af5c40013a3fa384d6c4b4f78","Слесарь-сантехник")</f>
        <v>Слесарь-сантехник</v>
      </c>
      <c r="C171" s="33" t="s">
        <v>734</v>
      </c>
      <c r="D171" s="33" t="s">
        <v>721</v>
      </c>
      <c r="E171" s="33">
        <v>1200</v>
      </c>
      <c r="F171" s="34">
        <f t="shared" si="4"/>
        <v>1395.35</v>
      </c>
    </row>
    <row r="172" spans="1:6" outlineLevel="1">
      <c r="A172" s="32">
        <v>18</v>
      </c>
      <c r="B172" s="44" t="str">
        <f>HYPERLINK("https://rabota.by/resume/d2c206240007e594000013a3fa6a66684d4833","Слесарь-сантехник")</f>
        <v>Слесарь-сантехник</v>
      </c>
      <c r="C172" s="33" t="s">
        <v>734</v>
      </c>
      <c r="D172" s="33" t="s">
        <v>721</v>
      </c>
      <c r="E172" s="33">
        <v>1200</v>
      </c>
      <c r="F172" s="34">
        <f t="shared" si="4"/>
        <v>1395.35</v>
      </c>
    </row>
    <row r="173" spans="1:6" outlineLevel="1">
      <c r="A173" s="32">
        <v>18</v>
      </c>
      <c r="B173" s="44" t="str">
        <f>HYPERLINK("https://rabota.by/resume/ca4840db0003e8117e0013a3fa546b37476878","Слесарь-сантехник")</f>
        <v>Слесарь-сантехник</v>
      </c>
      <c r="C173" s="33" t="s">
        <v>734</v>
      </c>
      <c r="D173" s="33" t="s">
        <v>721</v>
      </c>
      <c r="E173" s="33">
        <v>1200</v>
      </c>
      <c r="F173" s="34">
        <f t="shared" si="4"/>
        <v>1395.35</v>
      </c>
    </row>
    <row r="174" spans="1:6" outlineLevel="1">
      <c r="A174" s="32">
        <v>18</v>
      </c>
      <c r="B174" s="44" t="str">
        <f>HYPERLINK("https://rabota.by/resume/a9d9cde600098578040013a3fa536641453737","Слесарь-сантехник")</f>
        <v>Слесарь-сантехник</v>
      </c>
      <c r="C174" s="33" t="s">
        <v>734</v>
      </c>
      <c r="D174" s="33" t="s">
        <v>721</v>
      </c>
      <c r="E174" s="33">
        <v>1200</v>
      </c>
      <c r="F174" s="34">
        <f t="shared" si="4"/>
        <v>1395.35</v>
      </c>
    </row>
    <row r="175" spans="1:6" outlineLevel="1">
      <c r="A175" s="32">
        <v>18</v>
      </c>
      <c r="B175" s="44" t="str">
        <f>HYPERLINK("https://rabota.by/resume/a8fa3556000761f4530013a3fa786f63714c70","Слесарь-сантехник")</f>
        <v>Слесарь-сантехник</v>
      </c>
      <c r="C175" s="33" t="s">
        <v>734</v>
      </c>
      <c r="D175" s="33" t="s">
        <v>721</v>
      </c>
      <c r="E175" s="33">
        <v>1100</v>
      </c>
      <c r="F175" s="34">
        <f t="shared" si="4"/>
        <v>1279.07</v>
      </c>
    </row>
    <row r="176" spans="1:6" outlineLevel="1">
      <c r="A176" s="32">
        <v>18</v>
      </c>
      <c r="B176" s="44" t="str">
        <f>HYPERLINK("https://rabota.by/resume/91a1acff0008fc26c70013a3fa34744566594f","Слесарь-сантехник")</f>
        <v>Слесарь-сантехник</v>
      </c>
      <c r="C176" s="33" t="s">
        <v>734</v>
      </c>
      <c r="D176" s="33" t="s">
        <v>721</v>
      </c>
      <c r="E176" s="33">
        <v>1100</v>
      </c>
      <c r="F176" s="34">
        <f t="shared" si="4"/>
        <v>1279.07</v>
      </c>
    </row>
    <row r="177" spans="1:6" outlineLevel="1">
      <c r="A177" s="32">
        <v>18</v>
      </c>
      <c r="B177" s="44" t="str">
        <f>HYPERLINK("https://rabota.by/resume/957cbb0f00064a618c0013a3fa494d59586631","Слесарь-сантехник")</f>
        <v>Слесарь-сантехник</v>
      </c>
      <c r="C177" s="33" t="s">
        <v>734</v>
      </c>
      <c r="D177" s="33" t="s">
        <v>721</v>
      </c>
      <c r="E177" s="33">
        <v>1100</v>
      </c>
      <c r="F177" s="34">
        <f t="shared" ref="F177:F204" si="5">IF(ROUND(E177/$K$11,2)&gt;0,ROUND(E177/$K$11,2),"")</f>
        <v>1279.07</v>
      </c>
    </row>
    <row r="178" spans="1:6" outlineLevel="1">
      <c r="A178" s="32">
        <v>18</v>
      </c>
      <c r="B178" s="44" t="str">
        <f>HYPERLINK("https://rabota.by/resume/efc8b3fc00056f02960013a3fa43417335536f","Слесарь-сантехник")</f>
        <v>Слесарь-сантехник</v>
      </c>
      <c r="C178" s="33" t="s">
        <v>734</v>
      </c>
      <c r="D178" s="33" t="s">
        <v>721</v>
      </c>
      <c r="E178" s="33">
        <v>1000</v>
      </c>
      <c r="F178" s="34">
        <f t="shared" si="5"/>
        <v>1162.79</v>
      </c>
    </row>
    <row r="179" spans="1:6" outlineLevel="1">
      <c r="A179" s="32">
        <v>18</v>
      </c>
      <c r="B179" s="44" t="str">
        <f>HYPERLINK("https://rabota.by/resume/9d73f0c500025993a50013a3fa474264387642","Слесарь-сантехник")</f>
        <v>Слесарь-сантехник</v>
      </c>
      <c r="C179" s="33" t="s">
        <v>734</v>
      </c>
      <c r="D179" s="33" t="s">
        <v>721</v>
      </c>
      <c r="E179" s="33">
        <v>1000</v>
      </c>
      <c r="F179" s="34">
        <f t="shared" si="5"/>
        <v>1162.79</v>
      </c>
    </row>
    <row r="180" spans="1:6" outlineLevel="1">
      <c r="A180" s="32">
        <v>18</v>
      </c>
      <c r="B180" s="44" t="str">
        <f>HYPERLINK("https://rabota.by/resume/f41645ea0007ccea100013a3fa745678767a38","Слесарь-сантехник")</f>
        <v>Слесарь-сантехник</v>
      </c>
      <c r="C180" s="33" t="s">
        <v>734</v>
      </c>
      <c r="D180" s="33" t="s">
        <v>721</v>
      </c>
      <c r="E180" s="33">
        <v>900</v>
      </c>
      <c r="F180" s="34">
        <f t="shared" si="5"/>
        <v>1046.51</v>
      </c>
    </row>
    <row r="181" spans="1:6" outlineLevel="1">
      <c r="A181" s="32">
        <v>18</v>
      </c>
      <c r="B181" s="44" t="str">
        <f>HYPERLINK("https://rabota.by/resume/1dd6595a00089f93380013a3fa343859796268","Слесарь-сантехник")</f>
        <v>Слесарь-сантехник</v>
      </c>
      <c r="C181" s="33" t="s">
        <v>734</v>
      </c>
      <c r="D181" s="33" t="s">
        <v>721</v>
      </c>
      <c r="E181" s="33">
        <v>900</v>
      </c>
      <c r="F181" s="34">
        <f t="shared" si="5"/>
        <v>1046.51</v>
      </c>
    </row>
    <row r="182" spans="1:6" outlineLevel="1">
      <c r="A182" s="32">
        <v>18</v>
      </c>
      <c r="B182" s="44" t="str">
        <f>HYPERLINK("https://rabota.by/resume/4c6c4cc700058057640013a3fa4264736e3136","Слесарь-сантехник")</f>
        <v>Слесарь-сантехник</v>
      </c>
      <c r="C182" s="33" t="s">
        <v>734</v>
      </c>
      <c r="D182" s="33" t="s">
        <v>721</v>
      </c>
      <c r="E182" s="33">
        <v>900</v>
      </c>
      <c r="F182" s="34">
        <f t="shared" si="5"/>
        <v>1046.51</v>
      </c>
    </row>
    <row r="183" spans="1:6" outlineLevel="1">
      <c r="A183" s="32">
        <v>18</v>
      </c>
      <c r="B183" s="44" t="str">
        <f>HYPERLINK("https://rabota.by/resume/5ad518fa00099411590013a3fa62684a564d76","Слесарь-сантехник")</f>
        <v>Слесарь-сантехник</v>
      </c>
      <c r="C183" s="33" t="s">
        <v>734</v>
      </c>
      <c r="D183" s="33" t="s">
        <v>721</v>
      </c>
      <c r="E183" s="33">
        <v>900</v>
      </c>
      <c r="F183" s="34">
        <f t="shared" si="5"/>
        <v>1046.51</v>
      </c>
    </row>
    <row r="184" spans="1:6" outlineLevel="1">
      <c r="A184" s="32">
        <v>18</v>
      </c>
      <c r="B184" s="44" t="str">
        <f>HYPERLINK("https://rabota.by/resume/ef73139000096bd5b60013a3fa695670746b6e","Слесарь-сантехник")</f>
        <v>Слесарь-сантехник</v>
      </c>
      <c r="C184" s="33" t="s">
        <v>734</v>
      </c>
      <c r="D184" s="33" t="s">
        <v>721</v>
      </c>
      <c r="E184" s="33">
        <v>800</v>
      </c>
      <c r="F184" s="34">
        <f t="shared" si="5"/>
        <v>930.23</v>
      </c>
    </row>
    <row r="185" spans="1:6" outlineLevel="1">
      <c r="A185" s="32">
        <v>18</v>
      </c>
      <c r="B185" s="44" t="str">
        <f>HYPERLINK("https://rabota.by/resume/27d09a3c000968ec9f0013a3fa4a594a677844","Слесарь-сантехник")</f>
        <v>Слесарь-сантехник</v>
      </c>
      <c r="C185" s="33" t="s">
        <v>734</v>
      </c>
      <c r="D185" s="33" t="s">
        <v>721</v>
      </c>
      <c r="E185" s="33">
        <v>700</v>
      </c>
      <c r="F185" s="34">
        <f t="shared" si="5"/>
        <v>813.95</v>
      </c>
    </row>
    <row r="186" spans="1:6" outlineLevel="1">
      <c r="A186" s="32">
        <v>18</v>
      </c>
      <c r="B186" s="33"/>
      <c r="C186" s="33"/>
      <c r="D186" s="33"/>
      <c r="E186" s="33"/>
      <c r="F186" s="34" t="str">
        <f t="shared" si="5"/>
        <v/>
      </c>
    </row>
    <row r="187" spans="1:6" outlineLevel="1">
      <c r="A187" s="32">
        <v>18</v>
      </c>
      <c r="B187" s="33"/>
      <c r="C187" s="33"/>
      <c r="D187" s="33"/>
      <c r="E187" s="33"/>
      <c r="F187" s="34" t="str">
        <f t="shared" si="5"/>
        <v/>
      </c>
    </row>
    <row r="188" spans="1:6" outlineLevel="1">
      <c r="A188" s="32">
        <v>18</v>
      </c>
      <c r="B188" s="33"/>
      <c r="C188" s="33"/>
      <c r="D188" s="33"/>
      <c r="E188" s="33"/>
      <c r="F188" s="34" t="str">
        <f t="shared" si="5"/>
        <v/>
      </c>
    </row>
    <row r="189" spans="1:6" outlineLevel="1">
      <c r="A189" s="32">
        <v>18</v>
      </c>
      <c r="B189" s="33"/>
      <c r="C189" s="33"/>
      <c r="D189" s="33"/>
      <c r="E189" s="33"/>
      <c r="F189" s="34" t="str">
        <f t="shared" si="5"/>
        <v/>
      </c>
    </row>
    <row r="190" spans="1:6" outlineLevel="1">
      <c r="A190" s="32">
        <v>18</v>
      </c>
      <c r="B190" s="33"/>
      <c r="C190" s="33"/>
      <c r="D190" s="33"/>
      <c r="E190" s="33"/>
      <c r="F190" s="34" t="str">
        <f t="shared" si="5"/>
        <v/>
      </c>
    </row>
    <row r="191" spans="1:6" outlineLevel="1">
      <c r="A191" s="32">
        <v>18</v>
      </c>
      <c r="B191" s="33"/>
      <c r="C191" s="33"/>
      <c r="D191" s="33"/>
      <c r="E191" s="33"/>
      <c r="F191" s="34" t="str">
        <f t="shared" si="5"/>
        <v/>
      </c>
    </row>
    <row r="192" spans="1:6" outlineLevel="1">
      <c r="A192" s="32">
        <v>18</v>
      </c>
      <c r="B192" s="33"/>
      <c r="C192" s="33"/>
      <c r="D192" s="33"/>
      <c r="E192" s="33"/>
      <c r="F192" s="34" t="str">
        <f t="shared" si="5"/>
        <v/>
      </c>
    </row>
    <row r="193" spans="1:6" outlineLevel="1">
      <c r="A193" s="32">
        <v>18</v>
      </c>
      <c r="B193" s="33"/>
      <c r="C193" s="33"/>
      <c r="D193" s="33"/>
      <c r="E193" s="33"/>
      <c r="F193" s="34" t="str">
        <f t="shared" si="5"/>
        <v/>
      </c>
    </row>
    <row r="194" spans="1:6" outlineLevel="1">
      <c r="A194" s="32">
        <v>18</v>
      </c>
      <c r="B194" s="33"/>
      <c r="C194" s="33"/>
      <c r="D194" s="33"/>
      <c r="E194" s="33"/>
      <c r="F194" s="34" t="str">
        <f t="shared" si="5"/>
        <v/>
      </c>
    </row>
    <row r="195" spans="1:6" outlineLevel="1">
      <c r="A195" s="32">
        <v>18</v>
      </c>
      <c r="B195" s="33"/>
      <c r="C195" s="33"/>
      <c r="D195" s="33"/>
      <c r="E195" s="33"/>
      <c r="F195" s="34" t="str">
        <f t="shared" si="5"/>
        <v/>
      </c>
    </row>
    <row r="196" spans="1:6" outlineLevel="1">
      <c r="A196" s="32">
        <v>18</v>
      </c>
      <c r="B196" s="33"/>
      <c r="C196" s="33"/>
      <c r="D196" s="33"/>
      <c r="E196" s="33"/>
      <c r="F196" s="34" t="str">
        <f t="shared" si="5"/>
        <v/>
      </c>
    </row>
    <row r="197" spans="1:6" outlineLevel="1">
      <c r="A197" s="32">
        <v>18</v>
      </c>
      <c r="B197" s="33"/>
      <c r="C197" s="33"/>
      <c r="D197" s="33"/>
      <c r="E197" s="33"/>
      <c r="F197" s="34" t="str">
        <f t="shared" si="5"/>
        <v/>
      </c>
    </row>
    <row r="198" spans="1:6" outlineLevel="1">
      <c r="A198" s="32">
        <v>18</v>
      </c>
      <c r="B198" s="33"/>
      <c r="C198" s="33"/>
      <c r="D198" s="33"/>
      <c r="E198" s="33"/>
      <c r="F198" s="34" t="str">
        <f t="shared" si="5"/>
        <v/>
      </c>
    </row>
    <row r="199" spans="1:6" outlineLevel="1">
      <c r="A199" s="32">
        <v>18</v>
      </c>
      <c r="B199" s="33"/>
      <c r="C199" s="33"/>
      <c r="D199" s="33"/>
      <c r="E199" s="33"/>
      <c r="F199" s="34" t="str">
        <f t="shared" si="5"/>
        <v/>
      </c>
    </row>
    <row r="200" spans="1:6" outlineLevel="1">
      <c r="A200" s="32">
        <v>18</v>
      </c>
      <c r="B200" s="33"/>
      <c r="C200" s="33"/>
      <c r="D200" s="33"/>
      <c r="E200" s="33"/>
      <c r="F200" s="34" t="str">
        <f t="shared" si="5"/>
        <v/>
      </c>
    </row>
    <row r="201" spans="1:6" outlineLevel="1">
      <c r="A201" s="32">
        <v>18</v>
      </c>
      <c r="B201" s="33"/>
      <c r="C201" s="33"/>
      <c r="D201" s="33"/>
      <c r="E201" s="33"/>
      <c r="F201" s="34" t="str">
        <f t="shared" si="5"/>
        <v/>
      </c>
    </row>
    <row r="202" spans="1:6" outlineLevel="1">
      <c r="A202" s="32">
        <v>18</v>
      </c>
      <c r="B202" s="33"/>
      <c r="C202" s="33"/>
      <c r="D202" s="33"/>
      <c r="E202" s="33"/>
      <c r="F202" s="34" t="str">
        <f t="shared" si="5"/>
        <v/>
      </c>
    </row>
    <row r="203" spans="1:6" outlineLevel="1">
      <c r="A203" s="32">
        <v>18</v>
      </c>
      <c r="B203" s="33"/>
      <c r="C203" s="33"/>
      <c r="D203" s="33"/>
      <c r="E203" s="33"/>
      <c r="F203" s="34" t="str">
        <f t="shared" si="5"/>
        <v/>
      </c>
    </row>
    <row r="204" spans="1:6" outlineLevel="1">
      <c r="A204" s="32">
        <v>18</v>
      </c>
      <c r="B204" s="33"/>
      <c r="C204" s="33"/>
      <c r="D204" s="33"/>
      <c r="E204" s="33"/>
      <c r="F204" s="34" t="str">
        <f t="shared" si="5"/>
        <v/>
      </c>
    </row>
    <row r="205" spans="1:6">
      <c r="A205" s="35"/>
      <c r="B205" s="35"/>
      <c r="C205" s="36" t="s">
        <v>735</v>
      </c>
      <c r="D205" s="35"/>
      <c r="E205" s="35"/>
      <c r="F205" s="34"/>
    </row>
    <row r="206" spans="1:6" outlineLevel="1">
      <c r="A206" s="32">
        <v>18</v>
      </c>
      <c r="B206" s="44" t="str">
        <f>HYPERLINK("https://rabota.by/vacancy/50625260","ЗАО E-dostavka.by")</f>
        <v>ЗАО E-dostavka.by</v>
      </c>
      <c r="C206" s="33" t="s">
        <v>804</v>
      </c>
      <c r="D206" s="33" t="s">
        <v>723</v>
      </c>
      <c r="E206" s="33">
        <v>3000</v>
      </c>
      <c r="F206" s="34">
        <f t="shared" ref="F206:F237" si="6">IF(ROUND(E206/$K$11,2)&gt;0,ROUND(E206/$K$11,2),"")</f>
        <v>3488.37</v>
      </c>
    </row>
    <row r="207" spans="1:6" outlineLevel="1">
      <c r="A207" s="32">
        <v>18</v>
      </c>
      <c r="B207" s="44" t="str">
        <f>HYPERLINK("https://rabota.by/vacancy/50937264","ООО Швейная королева")</f>
        <v>ООО Швейная королева</v>
      </c>
      <c r="C207" s="33" t="s">
        <v>804</v>
      </c>
      <c r="D207" s="33" t="s">
        <v>723</v>
      </c>
      <c r="E207" s="33">
        <v>1200</v>
      </c>
      <c r="F207" s="34">
        <f t="shared" si="6"/>
        <v>1395.35</v>
      </c>
    </row>
    <row r="208" spans="1:6" outlineLevel="1">
      <c r="A208" s="32">
        <v>18</v>
      </c>
      <c r="B208" s="44" t="str">
        <f>HYPERLINK("https://rabota.by/vacancy/50613155","ЭЛЕКТРОСИЛА, сеть магазинов")</f>
        <v>ЭЛЕКТРОСИЛА, сеть магазинов</v>
      </c>
      <c r="C208" s="33" t="s">
        <v>804</v>
      </c>
      <c r="D208" s="33" t="s">
        <v>723</v>
      </c>
      <c r="E208" s="33">
        <v>800</v>
      </c>
      <c r="F208" s="34">
        <f t="shared" si="6"/>
        <v>930.23</v>
      </c>
    </row>
    <row r="209" spans="1:6" outlineLevel="1">
      <c r="A209" s="32">
        <v>18</v>
      </c>
      <c r="B209" s="44" t="str">
        <f>HYPERLINK("https://rabota.by/vacancy/50987819","ОП НИИ ПКД")</f>
        <v>ОП НИИ ПКД</v>
      </c>
      <c r="C209" s="33" t="s">
        <v>804</v>
      </c>
      <c r="D209" s="33" t="s">
        <v>723</v>
      </c>
      <c r="E209" s="33">
        <v>1000</v>
      </c>
      <c r="F209" s="34">
        <f t="shared" si="6"/>
        <v>1162.79</v>
      </c>
    </row>
    <row r="210" spans="1:6" outlineLevel="1">
      <c r="A210" s="32">
        <v>18</v>
      </c>
      <c r="B210" s="44" t="str">
        <f>HYPERLINK("https://rabota.by/vacancy/50094365","СОСЕДИ, Сеть магазинов")</f>
        <v>СОСЕДИ, Сеть магазинов</v>
      </c>
      <c r="C210" s="33" t="s">
        <v>804</v>
      </c>
      <c r="D210" s="33" t="s">
        <v>723</v>
      </c>
      <c r="E210" s="33">
        <v>960</v>
      </c>
      <c r="F210" s="34">
        <f t="shared" si="6"/>
        <v>1116.28</v>
      </c>
    </row>
    <row r="211" spans="1:6" outlineLevel="1">
      <c r="A211" s="32">
        <v>18</v>
      </c>
      <c r="B211" s="44" t="str">
        <f>HYPERLINK("https://rabota.by/vacancy/49784571","ООО СП Софтформ")</f>
        <v>ООО СП Софтформ</v>
      </c>
      <c r="C211" s="33" t="s">
        <v>804</v>
      </c>
      <c r="D211" s="33" t="s">
        <v>723</v>
      </c>
      <c r="E211" s="33">
        <v>850</v>
      </c>
      <c r="F211" s="34">
        <f t="shared" si="6"/>
        <v>988.37</v>
      </c>
    </row>
    <row r="212" spans="1:6" outlineLevel="1">
      <c r="A212" s="32">
        <v>18</v>
      </c>
      <c r="B212" s="44" t="str">
        <f>HYPERLINK("https://rabota.by/vacancy/51199637","Белбогемия, ИООО")</f>
        <v>Белбогемия, ИООО</v>
      </c>
      <c r="C212" s="33" t="s">
        <v>804</v>
      </c>
      <c r="D212" s="33" t="s">
        <v>723</v>
      </c>
      <c r="E212" s="33">
        <v>2700</v>
      </c>
      <c r="F212" s="34">
        <f t="shared" si="6"/>
        <v>3139.53</v>
      </c>
    </row>
    <row r="213" spans="1:6" outlineLevel="1">
      <c r="A213" s="32">
        <v>18</v>
      </c>
      <c r="B213" s="44" t="str">
        <f>HYPERLINK("https://rabota.by/vacancy/50813117","ООО Санта Ритейл")</f>
        <v>ООО Санта Ритейл</v>
      </c>
      <c r="C213" s="33" t="s">
        <v>804</v>
      </c>
      <c r="D213" s="33" t="s">
        <v>723</v>
      </c>
      <c r="E213" s="33">
        <v>1090</v>
      </c>
      <c r="F213" s="34">
        <f t="shared" si="6"/>
        <v>1267.44</v>
      </c>
    </row>
    <row r="214" spans="1:6" outlineLevel="1">
      <c r="A214" s="32">
        <v>18</v>
      </c>
      <c r="B214" s="44" t="str">
        <f>HYPERLINK("https://rabota.by/vacancy/50794836","ОАО Минбакалеяторг")</f>
        <v>ОАО Минбакалеяторг</v>
      </c>
      <c r="C214" s="33" t="s">
        <v>804</v>
      </c>
      <c r="D214" s="33" t="s">
        <v>723</v>
      </c>
      <c r="E214" s="33">
        <v>1300</v>
      </c>
      <c r="F214" s="34">
        <f t="shared" si="6"/>
        <v>1511.63</v>
      </c>
    </row>
    <row r="215" spans="1:6" outlineLevel="1">
      <c r="A215" s="32">
        <v>18</v>
      </c>
      <c r="B215" s="44" t="str">
        <f>HYPERLINK("https://rabota.by/vacancy/50873697","ООО Кэпитал Логистик")</f>
        <v>ООО Кэпитал Логистик</v>
      </c>
      <c r="C215" s="33" t="s">
        <v>804</v>
      </c>
      <c r="D215" s="33" t="s">
        <v>723</v>
      </c>
      <c r="E215" s="33">
        <v>1200</v>
      </c>
      <c r="F215" s="34">
        <f t="shared" si="6"/>
        <v>1395.35</v>
      </c>
    </row>
    <row r="216" spans="1:6" outlineLevel="1">
      <c r="A216" s="32">
        <v>18</v>
      </c>
      <c r="B216" s="44" t="str">
        <f>HYPERLINK("https://rabota.by/vacancy/50805065","ОДО Лучший Вкус")</f>
        <v>ОДО Лучший Вкус</v>
      </c>
      <c r="C216" s="33" t="s">
        <v>804</v>
      </c>
      <c r="D216" s="33" t="s">
        <v>723</v>
      </c>
      <c r="E216" s="33">
        <v>950</v>
      </c>
      <c r="F216" s="34">
        <f t="shared" si="6"/>
        <v>1104.6500000000001</v>
      </c>
    </row>
    <row r="217" spans="1:6" outlineLevel="1">
      <c r="A217" s="32">
        <v>18</v>
      </c>
      <c r="B217" s="44" t="str">
        <f>HYPERLINK("https://rabota.by/vacancy/50851177","ООО Доставлено")</f>
        <v>ООО Доставлено</v>
      </c>
      <c r="C217" s="33" t="s">
        <v>804</v>
      </c>
      <c r="D217" s="33" t="s">
        <v>723</v>
      </c>
      <c r="E217" s="33">
        <v>1300</v>
      </c>
      <c r="F217" s="34">
        <f t="shared" si="6"/>
        <v>1511.63</v>
      </c>
    </row>
    <row r="218" spans="1:6" outlineLevel="1">
      <c r="A218" s="32">
        <v>18</v>
      </c>
      <c r="B218" s="44" t="str">
        <f>HYPERLINK("https://rabota.by/vacancy/50152948","ООО Прадиус Нова")</f>
        <v>ООО Прадиус Нова</v>
      </c>
      <c r="C218" s="33" t="s">
        <v>804</v>
      </c>
      <c r="D218" s="33" t="s">
        <v>723</v>
      </c>
      <c r="E218" s="33">
        <v>2000</v>
      </c>
      <c r="F218" s="34">
        <f t="shared" si="6"/>
        <v>2325.58</v>
      </c>
    </row>
    <row r="219" spans="1:6" outlineLevel="1">
      <c r="A219" s="32">
        <v>18</v>
      </c>
      <c r="B219" s="44" t="str">
        <f>HYPERLINK("https://rabota.by/vacancy/50988637","КДВ БЕЛ")</f>
        <v>КДВ БЕЛ</v>
      </c>
      <c r="C219" s="33" t="s">
        <v>804</v>
      </c>
      <c r="D219" s="33" t="s">
        <v>723</v>
      </c>
      <c r="E219" s="33">
        <v>1200</v>
      </c>
      <c r="F219" s="34">
        <f t="shared" si="6"/>
        <v>1395.35</v>
      </c>
    </row>
    <row r="220" spans="1:6" outlineLevel="1">
      <c r="A220" s="32">
        <v>18</v>
      </c>
      <c r="B220" s="44" t="str">
        <f>HYPERLINK("https://rabota.by/vacancy/50761455","ProStore")</f>
        <v>ProStore</v>
      </c>
      <c r="C220" s="33" t="s">
        <v>804</v>
      </c>
      <c r="D220" s="33" t="s">
        <v>723</v>
      </c>
      <c r="E220" s="33">
        <v>970</v>
      </c>
      <c r="F220" s="34">
        <f t="shared" si="6"/>
        <v>1127.9100000000001</v>
      </c>
    </row>
    <row r="221" spans="1:6" outlineLevel="1">
      <c r="A221" s="32">
        <v>18</v>
      </c>
      <c r="B221" s="44" t="str">
        <f>HYPERLINK("https://rabota.by/vacancy/47483269","ЗАО Доброном")</f>
        <v>ЗАО Доброном</v>
      </c>
      <c r="C221" s="33" t="s">
        <v>804</v>
      </c>
      <c r="D221" s="33" t="s">
        <v>723</v>
      </c>
      <c r="E221" s="33">
        <v>1100</v>
      </c>
      <c r="F221" s="34">
        <f t="shared" si="6"/>
        <v>1279.07</v>
      </c>
    </row>
    <row r="222" spans="1:6" outlineLevel="1">
      <c r="A222" s="32">
        <v>18</v>
      </c>
      <c r="B222" s="44" t="str">
        <f>HYPERLINK("https://rabota.by/vacancy/50812446","ТУТ и ТАМ Логистикс")</f>
        <v>ТУТ и ТАМ Логистикс</v>
      </c>
      <c r="C222" s="33" t="s">
        <v>804</v>
      </c>
      <c r="D222" s="33" t="s">
        <v>723</v>
      </c>
      <c r="E222" s="33">
        <v>1000</v>
      </c>
      <c r="F222" s="34">
        <f t="shared" si="6"/>
        <v>1162.79</v>
      </c>
    </row>
    <row r="223" spans="1:6" outlineLevel="1">
      <c r="A223" s="32">
        <v>18</v>
      </c>
      <c r="B223" s="44" t="str">
        <f>HYPERLINK("https://rabota.by/vacancy/50577805","ОДО Виталюр")</f>
        <v>ОДО Виталюр</v>
      </c>
      <c r="C223" s="33" t="s">
        <v>804</v>
      </c>
      <c r="D223" s="33" t="s">
        <v>723</v>
      </c>
      <c r="E223" s="33">
        <v>880</v>
      </c>
      <c r="F223" s="34">
        <f t="shared" si="6"/>
        <v>1023.26</v>
      </c>
    </row>
    <row r="224" spans="1:6" outlineLevel="1">
      <c r="A224" s="32">
        <v>18</v>
      </c>
      <c r="B224" s="44" t="str">
        <f>HYPERLINK("https://rabota.by/vacancy/50663462","ООО Имидж косметик")</f>
        <v>ООО Имидж косметик</v>
      </c>
      <c r="C224" s="33" t="s">
        <v>804</v>
      </c>
      <c r="D224" s="33" t="s">
        <v>723</v>
      </c>
      <c r="E224" s="33">
        <v>900</v>
      </c>
      <c r="F224" s="34">
        <f t="shared" si="6"/>
        <v>1046.51</v>
      </c>
    </row>
    <row r="225" spans="1:6" outlineLevel="1">
      <c r="A225" s="32">
        <v>18</v>
      </c>
      <c r="B225" s="44" t="str">
        <f>HYPERLINK("https://rabota.by/vacancy/49741451","ООО С-Нетворк")</f>
        <v>ООО С-Нетворк</v>
      </c>
      <c r="C225" s="33" t="s">
        <v>804</v>
      </c>
      <c r="D225" s="33" t="s">
        <v>723</v>
      </c>
      <c r="E225" s="33">
        <v>1000</v>
      </c>
      <c r="F225" s="34">
        <f t="shared" si="6"/>
        <v>1162.79</v>
      </c>
    </row>
    <row r="226" spans="1:6" outlineLevel="1">
      <c r="A226" s="32">
        <v>18</v>
      </c>
      <c r="B226" s="44" t="str">
        <f>HYPERLINK("https://rabota.by/vacancy/50715732","ООО Торговый Дом Система")</f>
        <v>ООО Торговый Дом Система</v>
      </c>
      <c r="C226" s="33" t="s">
        <v>804</v>
      </c>
      <c r="D226" s="33" t="s">
        <v>723</v>
      </c>
      <c r="E226" s="33">
        <v>1300</v>
      </c>
      <c r="F226" s="34">
        <f t="shared" si="6"/>
        <v>1511.63</v>
      </c>
    </row>
    <row r="227" spans="1:6" outlineLevel="1">
      <c r="A227" s="32">
        <v>18</v>
      </c>
      <c r="B227" s="44" t="str">
        <f>HYPERLINK("https://rabota.by/vacancy/43816127","ГРИНрозница ГК РАПА")</f>
        <v>ГРИНрозница ГК РАПА</v>
      </c>
      <c r="C227" s="33" t="s">
        <v>804</v>
      </c>
      <c r="D227" s="33" t="s">
        <v>723</v>
      </c>
      <c r="E227" s="33">
        <v>910</v>
      </c>
      <c r="F227" s="34">
        <f t="shared" si="6"/>
        <v>1058.1400000000001</v>
      </c>
    </row>
    <row r="228" spans="1:6" outlineLevel="1">
      <c r="A228" s="32">
        <v>18</v>
      </c>
      <c r="B228" s="44" t="str">
        <f>HYPERLINK("https://rabota.by/vacancy/51089147","ООО Ресттрэйд / Дионис")</f>
        <v>ООО Ресттрэйд / Дионис</v>
      </c>
      <c r="C228" s="33" t="s">
        <v>804</v>
      </c>
      <c r="D228" s="33" t="s">
        <v>723</v>
      </c>
      <c r="E228" s="33">
        <v>904</v>
      </c>
      <c r="F228" s="34">
        <f t="shared" si="6"/>
        <v>1051.1600000000001</v>
      </c>
    </row>
    <row r="229" spans="1:6" outlineLevel="1">
      <c r="A229" s="32">
        <v>18</v>
      </c>
      <c r="B229" s="44" t="str">
        <f>HYPERLINK("https://rabota.by/vacancy/48198370","ЕВРООПТ")</f>
        <v>ЕВРООПТ</v>
      </c>
      <c r="C229" s="33" t="s">
        <v>804</v>
      </c>
      <c r="D229" s="33" t="s">
        <v>723</v>
      </c>
      <c r="E229" s="33">
        <v>850</v>
      </c>
      <c r="F229" s="34">
        <f t="shared" si="6"/>
        <v>988.37</v>
      </c>
    </row>
    <row r="230" spans="1:6" outlineLevel="1">
      <c r="A230" s="32">
        <v>18</v>
      </c>
      <c r="B230" s="44" t="str">
        <f>HYPERLINK("https://rabota.by/vacancy/50625349","МБС-ТоргСервис")</f>
        <v>МБС-ТоргСервис</v>
      </c>
      <c r="C230" s="33" t="s">
        <v>804</v>
      </c>
      <c r="D230" s="33" t="s">
        <v>723</v>
      </c>
      <c r="E230" s="33">
        <v>1200</v>
      </c>
      <c r="F230" s="34">
        <f t="shared" si="6"/>
        <v>1395.35</v>
      </c>
    </row>
    <row r="231" spans="1:6" outlineLevel="1">
      <c r="A231" s="32">
        <v>18</v>
      </c>
      <c r="B231" s="44" t="str">
        <f>HYPERLINK("https://rabota.by/vacancy/50794649","БЕЛМАРКЕТ")</f>
        <v>БЕЛМАРКЕТ</v>
      </c>
      <c r="C231" s="33" t="s">
        <v>804</v>
      </c>
      <c r="D231" s="33" t="s">
        <v>723</v>
      </c>
      <c r="E231" s="33">
        <v>860</v>
      </c>
      <c r="F231" s="34">
        <f t="shared" si="6"/>
        <v>1000</v>
      </c>
    </row>
    <row r="232" spans="1:6" outlineLevel="1">
      <c r="A232" s="32">
        <v>18</v>
      </c>
      <c r="B232" s="44" t="str">
        <f>HYPERLINK("https://rabota.by/vacancy/50657972","ООО МОНТБРУК")</f>
        <v>ООО МОНТБРУК</v>
      </c>
      <c r="C232" s="33" t="s">
        <v>804</v>
      </c>
      <c r="D232" s="33" t="s">
        <v>723</v>
      </c>
      <c r="E232" s="33">
        <v>900</v>
      </c>
      <c r="F232" s="34">
        <f t="shared" si="6"/>
        <v>1046.51</v>
      </c>
    </row>
    <row r="233" spans="1:6" outlineLevel="1">
      <c r="A233" s="32">
        <v>18</v>
      </c>
      <c r="B233" s="44" t="str">
        <f>HYPERLINK("https://rabota.by/vacancy/50799970","КОРОНА, ЗАМОК Торговые центры")</f>
        <v>КОРОНА, ЗАМОК Торговые центры</v>
      </c>
      <c r="C233" s="33" t="s">
        <v>804</v>
      </c>
      <c r="D233" s="33" t="s">
        <v>723</v>
      </c>
      <c r="E233" s="33">
        <v>750</v>
      </c>
      <c r="F233" s="34">
        <f t="shared" si="6"/>
        <v>872.09</v>
      </c>
    </row>
    <row r="234" spans="1:6" outlineLevel="1">
      <c r="A234" s="32">
        <v>18</v>
      </c>
      <c r="B234" s="44" t="str">
        <f>HYPERLINK("https://rabota.by/vacancy/50319760","Ассомедика,ООО")</f>
        <v>Ассомедика,ООО</v>
      </c>
      <c r="C234" s="33" t="s">
        <v>804</v>
      </c>
      <c r="D234" s="33" t="s">
        <v>723</v>
      </c>
      <c r="E234" s="33">
        <v>1000</v>
      </c>
      <c r="F234" s="34">
        <f t="shared" si="6"/>
        <v>1162.79</v>
      </c>
    </row>
    <row r="235" spans="1:6" outlineLevel="1">
      <c r="A235" s="32">
        <v>18</v>
      </c>
      <c r="B235" s="44" t="str">
        <f>HYPERLINK("https://rabota.by/vacancy/50784978","Добрада")</f>
        <v>Добрада</v>
      </c>
      <c r="C235" s="33" t="s">
        <v>804</v>
      </c>
      <c r="D235" s="33" t="s">
        <v>723</v>
      </c>
      <c r="E235" s="33">
        <v>2300</v>
      </c>
      <c r="F235" s="34">
        <f t="shared" si="6"/>
        <v>2674.42</v>
      </c>
    </row>
    <row r="236" spans="1:6" outlineLevel="1">
      <c r="A236" s="32">
        <v>18</v>
      </c>
      <c r="B236" s="44" t="str">
        <f>HYPERLINK("https://rabota.by/resume/ce471449000958ed840013a3fa643348307136","Укладчик-упаковщик/Комплектовщик")</f>
        <v>Укладчик-упаковщик/Комплектовщик</v>
      </c>
      <c r="C236" s="33" t="s">
        <v>804</v>
      </c>
      <c r="D236" s="33" t="s">
        <v>721</v>
      </c>
      <c r="E236" s="33">
        <v>1300</v>
      </c>
      <c r="F236" s="34">
        <f t="shared" si="6"/>
        <v>1511.63</v>
      </c>
    </row>
    <row r="237" spans="1:6" outlineLevel="1">
      <c r="A237" s="32">
        <v>18</v>
      </c>
      <c r="B237" s="44" t="str">
        <f>HYPERLINK("https://rabota.by/resume/0b05f56200098d4ce50013a3fa67754c725976","Укладчик-упаковщик/Комплектовщик")</f>
        <v>Укладчик-упаковщик/Комплектовщик</v>
      </c>
      <c r="C237" s="33" t="s">
        <v>804</v>
      </c>
      <c r="D237" s="33" t="s">
        <v>721</v>
      </c>
      <c r="E237" s="33">
        <v>1200</v>
      </c>
      <c r="F237" s="34">
        <f t="shared" si="6"/>
        <v>1395.35</v>
      </c>
    </row>
    <row r="238" spans="1:6" outlineLevel="1">
      <c r="A238" s="32">
        <v>18</v>
      </c>
      <c r="B238" s="44" t="str">
        <f>HYPERLINK("https://rabota.by/resume/6cb0a7840003b9adf00013a3fa796362346877","Укладчик-упаковщик/Комплектовщик")</f>
        <v>Укладчик-упаковщик/Комплектовщик</v>
      </c>
      <c r="C238" s="33" t="s">
        <v>804</v>
      </c>
      <c r="D238" s="33" t="s">
        <v>721</v>
      </c>
      <c r="E238" s="33">
        <v>1200</v>
      </c>
      <c r="F238" s="34">
        <f t="shared" ref="F238:F265" si="7">IF(ROUND(E238/$K$11,2)&gt;0,ROUND(E238/$K$11,2),"")</f>
        <v>1395.35</v>
      </c>
    </row>
    <row r="239" spans="1:6" outlineLevel="1">
      <c r="A239" s="32">
        <v>18</v>
      </c>
      <c r="B239" s="44" t="str">
        <f>HYPERLINK("https://rabota.by/resume/0173aabc00080ab64d0013a3fa694b30497165","Укладчик-упаковщик/Комплектовщик")</f>
        <v>Укладчик-упаковщик/Комплектовщик</v>
      </c>
      <c r="C239" s="33" t="s">
        <v>804</v>
      </c>
      <c r="D239" s="33" t="s">
        <v>721</v>
      </c>
      <c r="E239" s="33">
        <v>1200</v>
      </c>
      <c r="F239" s="34">
        <f t="shared" si="7"/>
        <v>1395.35</v>
      </c>
    </row>
    <row r="240" spans="1:6" outlineLevel="1">
      <c r="A240" s="32">
        <v>18</v>
      </c>
      <c r="B240" s="44" t="str">
        <f>HYPERLINK("https://rabota.by/resume/47c3098c0009898e950013a3fa59547842676b","Укладчик-упаковщик/Комплектовщик")</f>
        <v>Укладчик-упаковщик/Комплектовщик</v>
      </c>
      <c r="C240" s="33" t="s">
        <v>804</v>
      </c>
      <c r="D240" s="33" t="s">
        <v>721</v>
      </c>
      <c r="E240" s="33">
        <v>1200</v>
      </c>
      <c r="F240" s="34">
        <f t="shared" si="7"/>
        <v>1395.35</v>
      </c>
    </row>
    <row r="241" spans="1:6" outlineLevel="1">
      <c r="A241" s="32">
        <v>18</v>
      </c>
      <c r="B241" s="44" t="str">
        <f>HYPERLINK("https://rabota.by/resume/b9a9d85800057ad37b0013a3fa6d4e44454466","Укладчик-упаковщик/Комплектовщик")</f>
        <v>Укладчик-упаковщик/Комплектовщик</v>
      </c>
      <c r="C241" s="33" t="s">
        <v>804</v>
      </c>
      <c r="D241" s="33" t="s">
        <v>721</v>
      </c>
      <c r="E241" s="33">
        <v>1000</v>
      </c>
      <c r="F241" s="34">
        <f t="shared" si="7"/>
        <v>1162.79</v>
      </c>
    </row>
    <row r="242" spans="1:6" outlineLevel="1">
      <c r="A242" s="32">
        <v>18</v>
      </c>
      <c r="B242" s="44" t="str">
        <f>HYPERLINK("https://rabota.by/resume/04d024ba00098770100013a3fa6c4974724f47","Укладчик-упаковщик/Комплектовщик")</f>
        <v>Укладчик-упаковщик/Комплектовщик</v>
      </c>
      <c r="C242" s="33" t="s">
        <v>804</v>
      </c>
      <c r="D242" s="33" t="s">
        <v>721</v>
      </c>
      <c r="E242" s="33">
        <v>1000</v>
      </c>
      <c r="F242" s="34">
        <f t="shared" si="7"/>
        <v>1162.79</v>
      </c>
    </row>
    <row r="243" spans="1:6" outlineLevel="1">
      <c r="A243" s="32">
        <v>18</v>
      </c>
      <c r="B243" s="44" t="str">
        <f>HYPERLINK("https://rabota.by/resume/9318e41500030d532b0013a3fa396252466556","Укладчик-упаковщик/Комплектовщик")</f>
        <v>Укладчик-упаковщик/Комплектовщик</v>
      </c>
      <c r="C243" s="33" t="s">
        <v>804</v>
      </c>
      <c r="D243" s="33" t="s">
        <v>721</v>
      </c>
      <c r="E243" s="33">
        <v>1000</v>
      </c>
      <c r="F243" s="34">
        <f t="shared" si="7"/>
        <v>1162.79</v>
      </c>
    </row>
    <row r="244" spans="1:6" outlineLevel="1">
      <c r="A244" s="32">
        <v>18</v>
      </c>
      <c r="B244" s="44" t="str">
        <f>HYPERLINK("https://rabota.by/resume/0ad261ed0002fb8c4a0013a3fa4270744e614a","Укладчик-упаковщик/Комплектовщик")</f>
        <v>Укладчик-упаковщик/Комплектовщик</v>
      </c>
      <c r="C244" s="33" t="s">
        <v>804</v>
      </c>
      <c r="D244" s="33" t="s">
        <v>721</v>
      </c>
      <c r="E244" s="33">
        <v>1000</v>
      </c>
      <c r="F244" s="34">
        <f t="shared" si="7"/>
        <v>1162.79</v>
      </c>
    </row>
    <row r="245" spans="1:6" outlineLevel="1">
      <c r="A245" s="32">
        <v>18</v>
      </c>
      <c r="B245" s="44" t="str">
        <f>HYPERLINK("https://rabota.by/resume/26511c1f0003aa94d00013a3fa74307a59524e","Укладчик-упаковщик/Комплектовщик")</f>
        <v>Укладчик-упаковщик/Комплектовщик</v>
      </c>
      <c r="C245" s="33" t="s">
        <v>804</v>
      </c>
      <c r="D245" s="33" t="s">
        <v>721</v>
      </c>
      <c r="E245" s="33">
        <v>1000</v>
      </c>
      <c r="F245" s="34">
        <f t="shared" si="7"/>
        <v>1162.79</v>
      </c>
    </row>
    <row r="246" spans="1:6" outlineLevel="1">
      <c r="A246" s="32">
        <v>18</v>
      </c>
      <c r="B246" s="44" t="str">
        <f>HYPERLINK("https://rabota.by/resume/638caf2c0008c0953c0013a3fa4471646e6d50","Укладчик-упаковщик/Комплектовщик")</f>
        <v>Укладчик-упаковщик/Комплектовщик</v>
      </c>
      <c r="C246" s="33" t="s">
        <v>804</v>
      </c>
      <c r="D246" s="33" t="s">
        <v>721</v>
      </c>
      <c r="E246" s="33">
        <v>1000</v>
      </c>
      <c r="F246" s="34">
        <f t="shared" si="7"/>
        <v>1162.79</v>
      </c>
    </row>
    <row r="247" spans="1:6" outlineLevel="1">
      <c r="A247" s="32">
        <v>18</v>
      </c>
      <c r="B247" s="44" t="str">
        <f>HYPERLINK("https://rabota.by/resume/055f9010000864c2dc0013a3fa4a4f3146575a","Укладчик-упаковщик/Комплектовщик")</f>
        <v>Укладчик-упаковщик/Комплектовщик</v>
      </c>
      <c r="C247" s="33" t="s">
        <v>804</v>
      </c>
      <c r="D247" s="33" t="s">
        <v>721</v>
      </c>
      <c r="E247" s="33">
        <v>1000</v>
      </c>
      <c r="F247" s="34">
        <f t="shared" si="7"/>
        <v>1162.79</v>
      </c>
    </row>
    <row r="248" spans="1:6" outlineLevel="1">
      <c r="A248" s="32">
        <v>18</v>
      </c>
      <c r="B248" s="44" t="str">
        <f>HYPERLINK("https://rabota.by/resume/6ce4511b00090118740013a3fa6f4e7a41504e","Укладчик-упаковщик/Комплектовщик")</f>
        <v>Укладчик-упаковщик/Комплектовщик</v>
      </c>
      <c r="C248" s="33" t="s">
        <v>804</v>
      </c>
      <c r="D248" s="33" t="s">
        <v>721</v>
      </c>
      <c r="E248" s="33">
        <v>900</v>
      </c>
      <c r="F248" s="34">
        <f t="shared" si="7"/>
        <v>1046.51</v>
      </c>
    </row>
    <row r="249" spans="1:6" outlineLevel="1">
      <c r="A249" s="32">
        <v>18</v>
      </c>
      <c r="B249" s="44" t="str">
        <f>HYPERLINK("https://rabota.by/resume/ea0bab450007202c640013a3fa5439594a7476","Укладчик-упаковщик/Комплектовщик")</f>
        <v>Укладчик-упаковщик/Комплектовщик</v>
      </c>
      <c r="C249" s="33" t="s">
        <v>804</v>
      </c>
      <c r="D249" s="33" t="s">
        <v>721</v>
      </c>
      <c r="E249" s="33">
        <v>900</v>
      </c>
      <c r="F249" s="34">
        <f t="shared" si="7"/>
        <v>1046.51</v>
      </c>
    </row>
    <row r="250" spans="1:6" outlineLevel="1">
      <c r="A250" s="32">
        <v>18</v>
      </c>
      <c r="B250" s="44" t="str">
        <f>HYPERLINK("https://rabota.by/resume/90d930550003f19d8d0013a3fa35654b706335","Укладчик-упаковщик/Комплектовщик")</f>
        <v>Укладчик-упаковщик/Комплектовщик</v>
      </c>
      <c r="C250" s="33" t="s">
        <v>804</v>
      </c>
      <c r="D250" s="33" t="s">
        <v>721</v>
      </c>
      <c r="E250" s="33">
        <v>850</v>
      </c>
      <c r="F250" s="34">
        <f t="shared" si="7"/>
        <v>988.37</v>
      </c>
    </row>
    <row r="251" spans="1:6" outlineLevel="1">
      <c r="A251" s="32">
        <v>18</v>
      </c>
      <c r="B251" s="44" t="str">
        <f>HYPERLINK("https://rabota.by/resume/ae6ce7d10008d6f9af0013a3fa4a4e71397662","Укладчик-упаковщик/Комплектовщик")</f>
        <v>Укладчик-упаковщик/Комплектовщик</v>
      </c>
      <c r="C251" s="33" t="s">
        <v>804</v>
      </c>
      <c r="D251" s="33" t="s">
        <v>721</v>
      </c>
      <c r="E251" s="33">
        <v>800</v>
      </c>
      <c r="F251" s="34">
        <f t="shared" si="7"/>
        <v>930.23</v>
      </c>
    </row>
    <row r="252" spans="1:6" outlineLevel="1">
      <c r="A252" s="32">
        <v>18</v>
      </c>
      <c r="B252" s="44" t="str">
        <f>HYPERLINK("https://rabota.by/resume/b1bbcd8c00098d6cf50013a3fa763770514d39","Укладчик-упаковщик/Комплектовщик")</f>
        <v>Укладчик-упаковщик/Комплектовщик</v>
      </c>
      <c r="C252" s="33" t="s">
        <v>804</v>
      </c>
      <c r="D252" s="33" t="s">
        <v>721</v>
      </c>
      <c r="E252" s="33">
        <v>800</v>
      </c>
      <c r="F252" s="34">
        <f t="shared" si="7"/>
        <v>930.23</v>
      </c>
    </row>
    <row r="253" spans="1:6" outlineLevel="1">
      <c r="A253" s="32">
        <v>18</v>
      </c>
      <c r="B253" s="44" t="str">
        <f>HYPERLINK("https://rabota.by/resume/cf2fbc160002d5a3c50013a3fa6a574f373755","Укладчик-упаковщик/Комплектовщик")</f>
        <v>Укладчик-упаковщик/Комплектовщик</v>
      </c>
      <c r="C253" s="33" t="s">
        <v>804</v>
      </c>
      <c r="D253" s="33" t="s">
        <v>721</v>
      </c>
      <c r="E253" s="33">
        <v>800</v>
      </c>
      <c r="F253" s="34">
        <f t="shared" si="7"/>
        <v>930.23</v>
      </c>
    </row>
    <row r="254" spans="1:6" outlineLevel="1">
      <c r="A254" s="32">
        <v>18</v>
      </c>
      <c r="B254" s="44" t="str">
        <f>HYPERLINK("https://rabota.by/resume/7e62c5d900098f10310013a3fa776369714d43","Укладчик-упаковщик/Комплектовщик")</f>
        <v>Укладчик-упаковщик/Комплектовщик</v>
      </c>
      <c r="C254" s="33" t="s">
        <v>804</v>
      </c>
      <c r="D254" s="33" t="s">
        <v>721</v>
      </c>
      <c r="E254" s="33">
        <v>800</v>
      </c>
      <c r="F254" s="34">
        <f t="shared" si="7"/>
        <v>930.23</v>
      </c>
    </row>
    <row r="255" spans="1:6" outlineLevel="1">
      <c r="A255" s="32">
        <v>18</v>
      </c>
      <c r="B255" s="44" t="str">
        <f>HYPERLINK("https://rabota.by/resume/3c137e9900096745980013a3fa626d6d4a6441","Укладчик-упаковщик/Комплектовщик")</f>
        <v>Укладчик-упаковщик/Комплектовщик</v>
      </c>
      <c r="C255" s="33" t="s">
        <v>804</v>
      </c>
      <c r="D255" s="33" t="s">
        <v>721</v>
      </c>
      <c r="E255" s="33">
        <v>800</v>
      </c>
      <c r="F255" s="34">
        <f t="shared" si="7"/>
        <v>930.23</v>
      </c>
    </row>
    <row r="256" spans="1:6" outlineLevel="1">
      <c r="A256" s="32">
        <v>18</v>
      </c>
      <c r="B256" s="44" t="str">
        <f>HYPERLINK("https://rabota.by/resume/a1772f130008f6be610013a3fa533953374348","Укладчик-упаковщик/Комплектовщик")</f>
        <v>Укладчик-упаковщик/Комплектовщик</v>
      </c>
      <c r="C256" s="33" t="s">
        <v>804</v>
      </c>
      <c r="D256" s="33" t="s">
        <v>721</v>
      </c>
      <c r="E256" s="33">
        <v>800</v>
      </c>
      <c r="F256" s="34">
        <f t="shared" si="7"/>
        <v>930.23</v>
      </c>
    </row>
    <row r="257" spans="1:6" outlineLevel="1">
      <c r="A257" s="32">
        <v>18</v>
      </c>
      <c r="B257" s="44" t="str">
        <f>HYPERLINK("https://rabota.by/resume/603bf5b600089221d20013a3fa624a6351737a","Укладчик-упаковщик/Комплектовщик")</f>
        <v>Укладчик-упаковщик/Комплектовщик</v>
      </c>
      <c r="C257" s="33" t="s">
        <v>804</v>
      </c>
      <c r="D257" s="33" t="s">
        <v>721</v>
      </c>
      <c r="E257" s="33">
        <v>800</v>
      </c>
      <c r="F257" s="34">
        <f t="shared" si="7"/>
        <v>930.23</v>
      </c>
    </row>
    <row r="258" spans="1:6" outlineLevel="1">
      <c r="A258" s="32">
        <v>18</v>
      </c>
      <c r="B258" s="44" t="str">
        <f>HYPERLINK("https://rabota.by/resume/270968880001b39db60013a3fa4a6741545363","Укладчик-упаковщик/Комплектовщик")</f>
        <v>Укладчик-упаковщик/Комплектовщик</v>
      </c>
      <c r="C258" s="33" t="s">
        <v>804</v>
      </c>
      <c r="D258" s="33" t="s">
        <v>721</v>
      </c>
      <c r="E258" s="33">
        <v>700</v>
      </c>
      <c r="F258" s="34">
        <f t="shared" si="7"/>
        <v>813.95</v>
      </c>
    </row>
    <row r="259" spans="1:6" outlineLevel="1">
      <c r="A259" s="32">
        <v>18</v>
      </c>
      <c r="B259" s="44" t="str">
        <f>HYPERLINK("https://rabota.by/resume/f047ef4000020b5f910013a3fa756e6757344b","Укладчик-упаковщик/Комплектовщик")</f>
        <v>Укладчик-упаковщик/Комплектовщик</v>
      </c>
      <c r="C259" s="33" t="s">
        <v>804</v>
      </c>
      <c r="D259" s="33" t="s">
        <v>721</v>
      </c>
      <c r="E259" s="33">
        <v>700</v>
      </c>
      <c r="F259" s="34">
        <f t="shared" si="7"/>
        <v>813.95</v>
      </c>
    </row>
    <row r="260" spans="1:6" outlineLevel="1">
      <c r="A260" s="32">
        <v>18</v>
      </c>
      <c r="B260" s="44" t="str">
        <f>HYPERLINK("https://rabota.by/resume/644b8d3d000358e4360013a3fa534d41396e48","Укладчик-упаковщик/Комплектовщик")</f>
        <v>Укладчик-упаковщик/Комплектовщик</v>
      </c>
      <c r="C260" s="33" t="s">
        <v>804</v>
      </c>
      <c r="D260" s="33" t="s">
        <v>721</v>
      </c>
      <c r="E260" s="33">
        <v>500</v>
      </c>
      <c r="F260" s="34">
        <f t="shared" si="7"/>
        <v>581.4</v>
      </c>
    </row>
    <row r="261" spans="1:6" outlineLevel="1">
      <c r="A261" s="32">
        <v>18</v>
      </c>
      <c r="B261" s="33"/>
      <c r="C261" s="33"/>
      <c r="D261" s="33"/>
      <c r="E261" s="33"/>
      <c r="F261" s="34" t="str">
        <f t="shared" si="7"/>
        <v/>
      </c>
    </row>
    <row r="262" spans="1:6" outlineLevel="1">
      <c r="A262" s="32">
        <v>18</v>
      </c>
      <c r="B262" s="33"/>
      <c r="C262" s="33"/>
      <c r="D262" s="33"/>
      <c r="E262" s="33"/>
      <c r="F262" s="34" t="str">
        <f t="shared" si="7"/>
        <v/>
      </c>
    </row>
    <row r="263" spans="1:6" outlineLevel="1">
      <c r="A263" s="32">
        <v>18</v>
      </c>
      <c r="B263" s="33"/>
      <c r="C263" s="33"/>
      <c r="D263" s="33"/>
      <c r="E263" s="33"/>
      <c r="F263" s="34" t="str">
        <f t="shared" si="7"/>
        <v/>
      </c>
    </row>
    <row r="264" spans="1:6" outlineLevel="1">
      <c r="A264" s="32">
        <v>18</v>
      </c>
      <c r="B264" s="33"/>
      <c r="C264" s="33"/>
      <c r="D264" s="33"/>
      <c r="E264" s="33"/>
      <c r="F264" s="34" t="str">
        <f t="shared" si="7"/>
        <v/>
      </c>
    </row>
    <row r="265" spans="1:6" outlineLevel="1">
      <c r="A265" s="32">
        <v>18</v>
      </c>
      <c r="B265" s="33"/>
      <c r="C265" s="33"/>
      <c r="D265" s="33"/>
      <c r="E265" s="33"/>
      <c r="F265" s="34" t="str">
        <f t="shared" si="7"/>
        <v/>
      </c>
    </row>
    <row r="266" spans="1:6">
      <c r="A266" s="35"/>
      <c r="B266" s="35"/>
      <c r="C266" s="36" t="s">
        <v>736</v>
      </c>
      <c r="D266" s="35"/>
      <c r="E266" s="35"/>
      <c r="F266" s="34"/>
    </row>
    <row r="267" spans="1:6" outlineLevel="1">
      <c r="A267" s="32">
        <v>18</v>
      </c>
      <c r="B267" s="44" t="str">
        <f>HYPERLINK("https://rabota.by/vacancy/50944666","ООО Глобалпрогрупп")</f>
        <v>ООО Глобалпрогрупп</v>
      </c>
      <c r="C267" s="33" t="s">
        <v>736</v>
      </c>
      <c r="D267" s="33" t="s">
        <v>723</v>
      </c>
      <c r="E267" s="33">
        <v>1600</v>
      </c>
      <c r="F267" s="34">
        <f t="shared" ref="F267:F298" si="8">IF(ROUND(E267/$K$11,2)&gt;0,ROUND(E267/$K$11,2),"")</f>
        <v>1860.47</v>
      </c>
    </row>
    <row r="268" spans="1:6" outlineLevel="1">
      <c r="A268" s="32">
        <v>18</v>
      </c>
      <c r="B268" s="44" t="str">
        <f>HYPERLINK("https://rabota.by/vacancy/50929341","СКАЛАНОВА, СЗАО")</f>
        <v>СКАЛАНОВА, СЗАО</v>
      </c>
      <c r="C268" s="33" t="s">
        <v>736</v>
      </c>
      <c r="D268" s="33" t="s">
        <v>723</v>
      </c>
      <c r="E268" s="33">
        <v>1600</v>
      </c>
      <c r="F268" s="34">
        <f t="shared" si="8"/>
        <v>1860.47</v>
      </c>
    </row>
    <row r="269" spans="1:6" outlineLevel="1">
      <c r="A269" s="32">
        <v>18</v>
      </c>
      <c r="B269" s="44" t="str">
        <f>HYPERLINK("https://rabota.by/vacancy/50633119","ООО Кофечино")</f>
        <v>ООО Кофечино</v>
      </c>
      <c r="C269" s="33" t="s">
        <v>736</v>
      </c>
      <c r="D269" s="33" t="s">
        <v>723</v>
      </c>
      <c r="E269" s="33">
        <v>1200</v>
      </c>
      <c r="F269" s="34">
        <f t="shared" si="8"/>
        <v>1395.35</v>
      </c>
    </row>
    <row r="270" spans="1:6" outlineLevel="1">
      <c r="A270" s="32">
        <v>18</v>
      </c>
      <c r="B270" s="44" t="str">
        <f>HYPERLINK("https://rabota.by/vacancy/50803007","ООО Сёмково клаб")</f>
        <v>ООО Сёмково клаб</v>
      </c>
      <c r="C270" s="33" t="s">
        <v>736</v>
      </c>
      <c r="D270" s="33" t="s">
        <v>723</v>
      </c>
      <c r="E270" s="33">
        <v>1000</v>
      </c>
      <c r="F270" s="34">
        <f t="shared" si="8"/>
        <v>1162.79</v>
      </c>
    </row>
    <row r="271" spans="1:6" outlineLevel="1">
      <c r="A271" s="32">
        <v>18</v>
      </c>
      <c r="B271" s="44" t="str">
        <f>HYPERLINK("https://rabota.by/vacancy/50635309","ООО Гинерион")</f>
        <v>ООО Гинерион</v>
      </c>
      <c r="C271" s="33" t="s">
        <v>736</v>
      </c>
      <c r="D271" s="33" t="s">
        <v>723</v>
      </c>
      <c r="E271" s="33">
        <v>900</v>
      </c>
      <c r="F271" s="34">
        <f t="shared" si="8"/>
        <v>1046.51</v>
      </c>
    </row>
    <row r="272" spans="1:6" outlineLevel="1">
      <c r="A272" s="32">
        <v>18</v>
      </c>
      <c r="B272" s="44" t="str">
        <f>HYPERLINK("https://rabota.by/vacancy/50889394","ООО Норте Рокс")</f>
        <v>ООО Норте Рокс</v>
      </c>
      <c r="C272" s="33" t="s">
        <v>736</v>
      </c>
      <c r="D272" s="33" t="s">
        <v>723</v>
      </c>
      <c r="E272" s="33">
        <v>1000</v>
      </c>
      <c r="F272" s="34">
        <f t="shared" si="8"/>
        <v>1162.79</v>
      </c>
    </row>
    <row r="273" spans="1:6" outlineLevel="1">
      <c r="A273" s="32">
        <v>18</v>
      </c>
      <c r="B273" s="44" t="str">
        <f>HYPERLINK("https://rabota.by/vacancy/50910846","ООО Ривьера СПА")</f>
        <v>ООО Ривьера СПА</v>
      </c>
      <c r="C273" s="33" t="s">
        <v>736</v>
      </c>
      <c r="D273" s="33" t="s">
        <v>723</v>
      </c>
      <c r="E273" s="33">
        <v>900</v>
      </c>
      <c r="F273" s="34">
        <f t="shared" si="8"/>
        <v>1046.51</v>
      </c>
    </row>
    <row r="274" spans="1:6" outlineLevel="1">
      <c r="A274" s="32">
        <v>18</v>
      </c>
      <c r="B274" s="44" t="str">
        <f>HYPERLINK("https://rabota.by/vacancy/50934575","ООО Новый Альянс")</f>
        <v>ООО Новый Альянс</v>
      </c>
      <c r="C274" s="33" t="s">
        <v>736</v>
      </c>
      <c r="D274" s="33" t="s">
        <v>723</v>
      </c>
      <c r="E274" s="33">
        <v>1200</v>
      </c>
      <c r="F274" s="34">
        <f t="shared" si="8"/>
        <v>1395.35</v>
      </c>
    </row>
    <row r="275" spans="1:6" outlineLevel="1">
      <c r="A275" s="32">
        <v>18</v>
      </c>
      <c r="B275" s="44" t="str">
        <f>HYPERLINK("https://rabota.by/vacancy/46638806","Опен Трэйд")</f>
        <v>Опен Трэйд</v>
      </c>
      <c r="C275" s="33" t="s">
        <v>736</v>
      </c>
      <c r="D275" s="33" t="s">
        <v>723</v>
      </c>
      <c r="E275" s="33">
        <v>1000</v>
      </c>
      <c r="F275" s="34">
        <f t="shared" si="8"/>
        <v>1162.79</v>
      </c>
    </row>
    <row r="276" spans="1:6" outlineLevel="1">
      <c r="A276" s="32">
        <v>18</v>
      </c>
      <c r="B276" s="44" t="str">
        <f>HYPERLINK("https://rabota.by/vacancy/50812337","Кафе Золотой гребешок")</f>
        <v>Кафе Золотой гребешок</v>
      </c>
      <c r="C276" s="33" t="s">
        <v>736</v>
      </c>
      <c r="D276" s="33" t="s">
        <v>723</v>
      </c>
      <c r="E276" s="33">
        <v>1000</v>
      </c>
      <c r="F276" s="34">
        <f t="shared" si="8"/>
        <v>1162.79</v>
      </c>
    </row>
    <row r="277" spans="1:6" outlineLevel="1">
      <c r="A277" s="32">
        <v>18</v>
      </c>
      <c r="B277" s="44" t="str">
        <f>HYPERLINK("https://rabota.by/vacancy/50805214","ООО Азия-Компани")</f>
        <v>ООО Азия-Компани</v>
      </c>
      <c r="C277" s="33" t="s">
        <v>736</v>
      </c>
      <c r="D277" s="33" t="s">
        <v>723</v>
      </c>
      <c r="E277" s="33">
        <v>650</v>
      </c>
      <c r="F277" s="34">
        <f t="shared" si="8"/>
        <v>755.81</v>
      </c>
    </row>
    <row r="278" spans="1:6" outlineLevel="1">
      <c r="A278" s="32">
        <v>18</v>
      </c>
      <c r="B278" s="44" t="str">
        <f>HYPERLINK("https://rabota.by/vacancy/51209819","Терра пицца")</f>
        <v>Терра пицца</v>
      </c>
      <c r="C278" s="33" t="s">
        <v>736</v>
      </c>
      <c r="D278" s="33" t="s">
        <v>723</v>
      </c>
      <c r="E278" s="33">
        <v>1000</v>
      </c>
      <c r="F278" s="34">
        <f t="shared" si="8"/>
        <v>1162.79</v>
      </c>
    </row>
    <row r="279" spans="1:6" outlineLevel="1">
      <c r="A279" s="32">
        <v>18</v>
      </c>
      <c r="B279" s="44" t="str">
        <f>HYPERLINK("https://rabota.by/vacancy/51096747","ООО Батикс")</f>
        <v>ООО Батикс</v>
      </c>
      <c r="C279" s="33" t="s">
        <v>736</v>
      </c>
      <c r="D279" s="33" t="s">
        <v>723</v>
      </c>
      <c r="E279" s="33">
        <v>1000</v>
      </c>
      <c r="F279" s="34">
        <f t="shared" si="8"/>
        <v>1162.79</v>
      </c>
    </row>
    <row r="280" spans="1:6" outlineLevel="1">
      <c r="A280" s="32">
        <v>18</v>
      </c>
      <c r="B280" s="44" t="str">
        <f>HYPERLINK("https://rabota.by/vacancy/50804047","ГОСТИНИЦА ПЕКИН-МИНСК")</f>
        <v>ГОСТИНИЦА ПЕКИН-МИНСК</v>
      </c>
      <c r="C280" s="33" t="s">
        <v>736</v>
      </c>
      <c r="D280" s="33" t="s">
        <v>723</v>
      </c>
      <c r="E280" s="33">
        <v>850</v>
      </c>
      <c r="F280" s="34">
        <f t="shared" si="8"/>
        <v>988.37</v>
      </c>
    </row>
    <row r="281" spans="1:6" outlineLevel="1">
      <c r="A281" s="32">
        <v>18</v>
      </c>
      <c r="B281" s="44" t="str">
        <f>HYPERLINK("https://rabota.by/vacancy/50804320","Штолле")</f>
        <v>Штолле</v>
      </c>
      <c r="C281" s="33" t="s">
        <v>736</v>
      </c>
      <c r="D281" s="33" t="s">
        <v>723</v>
      </c>
      <c r="E281" s="33">
        <v>850</v>
      </c>
      <c r="F281" s="34">
        <f t="shared" si="8"/>
        <v>988.37</v>
      </c>
    </row>
    <row r="282" spans="1:6" outlineLevel="1">
      <c r="A282" s="32">
        <v>18</v>
      </c>
      <c r="B282" s="44" t="str">
        <f>HYPERLINK("https://rabota.by/vacancy/50972523","ООО Спортюнион-Трейдинг / Ресторан-кондитерская ODI")</f>
        <v>ООО Спортюнион-Трейдинг / Ресторан-кондитерская ODI</v>
      </c>
      <c r="C282" s="33" t="s">
        <v>736</v>
      </c>
      <c r="D282" s="33" t="s">
        <v>723</v>
      </c>
      <c r="E282" s="33">
        <v>975</v>
      </c>
      <c r="F282" s="34">
        <f t="shared" si="8"/>
        <v>1133.72</v>
      </c>
    </row>
    <row r="283" spans="1:6" outlineLevel="1">
      <c r="A283" s="32">
        <v>18</v>
      </c>
      <c r="B283" s="44" t="str">
        <f>HYPERLINK("https://rabota.by/vacancy/50931555","ООО Шеф-повар Кейтеринг")</f>
        <v>ООО Шеф-повар Кейтеринг</v>
      </c>
      <c r="C283" s="33" t="s">
        <v>736</v>
      </c>
      <c r="D283" s="33" t="s">
        <v>723</v>
      </c>
      <c r="E283" s="33">
        <v>800</v>
      </c>
      <c r="F283" s="34">
        <f t="shared" si="8"/>
        <v>930.23</v>
      </c>
    </row>
    <row r="284" spans="1:6" outlineLevel="1">
      <c r="A284" s="32">
        <v>18</v>
      </c>
      <c r="B284" s="44" t="str">
        <f>HYPERLINK("https://rabota.by/vacancy/50796390","ООО АВАСЕТ")</f>
        <v>ООО АВАСЕТ</v>
      </c>
      <c r="C284" s="33" t="s">
        <v>736</v>
      </c>
      <c r="D284" s="33" t="s">
        <v>723</v>
      </c>
      <c r="E284" s="33">
        <v>1000</v>
      </c>
      <c r="F284" s="34">
        <f t="shared" si="8"/>
        <v>1162.79</v>
      </c>
    </row>
    <row r="285" spans="1:6" outlineLevel="1">
      <c r="A285" s="32">
        <v>18</v>
      </c>
      <c r="B285" s="44" t="str">
        <f>HYPERLINK("https://rabota.by/vacancy/51192339","ООО ФудБизнес")</f>
        <v>ООО ФудБизнес</v>
      </c>
      <c r="C285" s="33" t="s">
        <v>736</v>
      </c>
      <c r="D285" s="33" t="s">
        <v>723</v>
      </c>
      <c r="E285" s="33">
        <v>900</v>
      </c>
      <c r="F285" s="34">
        <f t="shared" si="8"/>
        <v>1046.51</v>
      </c>
    </row>
    <row r="286" spans="1:6" outlineLevel="1">
      <c r="A286" s="32">
        <v>18</v>
      </c>
      <c r="B286" s="44" t="str">
        <f>HYPERLINK("https://rabota.by/vacancy/50781240","Папа Джонс/ООО Кондитерская №4")</f>
        <v>Папа Джонс/ООО Кондитерская №4</v>
      </c>
      <c r="C286" s="33" t="s">
        <v>736</v>
      </c>
      <c r="D286" s="33" t="s">
        <v>723</v>
      </c>
      <c r="E286" s="33">
        <v>500</v>
      </c>
      <c r="F286" s="34">
        <f t="shared" si="8"/>
        <v>581.4</v>
      </c>
    </row>
    <row r="287" spans="1:6" outlineLevel="1">
      <c r="A287" s="32">
        <v>18</v>
      </c>
      <c r="B287" s="44" t="str">
        <f>HYPERLINK("https://rabota.by/vacancy/49979181","ООО СИСТЕМЫ ИНВЕСТИЦИЙ И ИННОВАЦИЙ ПЛЮС")</f>
        <v>ООО СИСТЕМЫ ИНВЕСТИЦИЙ И ИННОВАЦИЙ ПЛЮС</v>
      </c>
      <c r="C287" s="33" t="s">
        <v>736</v>
      </c>
      <c r="D287" s="33" t="s">
        <v>723</v>
      </c>
      <c r="E287" s="33">
        <v>1300</v>
      </c>
      <c r="F287" s="34">
        <f t="shared" si="8"/>
        <v>1511.63</v>
      </c>
    </row>
    <row r="288" spans="1:6" outlineLevel="1">
      <c r="A288" s="32">
        <v>18</v>
      </c>
      <c r="B288" s="44" t="str">
        <f>HYPERLINK("https://rabota.by/vacancy/51108619","Совместн. п. БелИммобилье")</f>
        <v>Совместн. п. БелИммобилье</v>
      </c>
      <c r="C288" s="33" t="s">
        <v>736</v>
      </c>
      <c r="D288" s="33" t="s">
        <v>723</v>
      </c>
      <c r="E288" s="33">
        <v>700</v>
      </c>
      <c r="F288" s="34">
        <f t="shared" si="8"/>
        <v>813.95</v>
      </c>
    </row>
    <row r="289" spans="1:6" outlineLevel="1">
      <c r="A289" s="32">
        <v>18</v>
      </c>
      <c r="B289" s="44" t="str">
        <f>HYPERLINK("https://rabota.by/vacancy/50731971","ООО Нефть сити")</f>
        <v>ООО Нефть сити</v>
      </c>
      <c r="C289" s="33" t="s">
        <v>736</v>
      </c>
      <c r="D289" s="33" t="s">
        <v>723</v>
      </c>
      <c r="E289" s="33">
        <v>2300</v>
      </c>
      <c r="F289" s="34">
        <f t="shared" si="8"/>
        <v>2674.42</v>
      </c>
    </row>
    <row r="290" spans="1:6" outlineLevel="1">
      <c r="A290" s="32">
        <v>18</v>
      </c>
      <c r="B290" s="44" t="str">
        <f>HYPERLINK("https://rabota.by/vacancy/47021325","Синезис")</f>
        <v>Синезис</v>
      </c>
      <c r="C290" s="33" t="s">
        <v>736</v>
      </c>
      <c r="D290" s="33" t="s">
        <v>723</v>
      </c>
      <c r="E290" s="33">
        <v>1300</v>
      </c>
      <c r="F290" s="34">
        <f t="shared" si="8"/>
        <v>1511.63</v>
      </c>
    </row>
    <row r="291" spans="1:6" outlineLevel="1">
      <c r="A291" s="32">
        <v>18</v>
      </c>
      <c r="B291" s="44" t="str">
        <f>HYPERLINK("https://rabota.by/vacancy/50964475","ООО Галерея Фуд")</f>
        <v>ООО Галерея Фуд</v>
      </c>
      <c r="C291" s="33" t="s">
        <v>736</v>
      </c>
      <c r="D291" s="33" t="s">
        <v>723</v>
      </c>
      <c r="E291" s="33">
        <v>600</v>
      </c>
      <c r="F291" s="34">
        <f t="shared" si="8"/>
        <v>697.67</v>
      </c>
    </row>
    <row r="292" spans="1:6" outlineLevel="1">
      <c r="A292" s="32">
        <v>18</v>
      </c>
      <c r="B292" s="44" t="str">
        <f>HYPERLINK("https://rabota.by/vacancy/51030456","ООО Невада Холл")</f>
        <v>ООО Невада Холл</v>
      </c>
      <c r="C292" s="33" t="s">
        <v>736</v>
      </c>
      <c r="D292" s="33" t="s">
        <v>723</v>
      </c>
      <c r="E292" s="33">
        <v>900</v>
      </c>
      <c r="F292" s="34">
        <f t="shared" si="8"/>
        <v>1046.51</v>
      </c>
    </row>
    <row r="293" spans="1:6" outlineLevel="1">
      <c r="A293" s="32">
        <v>18</v>
      </c>
      <c r="B293" s="44" t="str">
        <f>HYPERLINK("https://rabota.by/vacancy/42959139","GARAGE")</f>
        <v>GARAGE</v>
      </c>
      <c r="C293" s="33" t="s">
        <v>736</v>
      </c>
      <c r="D293" s="33" t="s">
        <v>723</v>
      </c>
      <c r="E293" s="33">
        <v>1000</v>
      </c>
      <c r="F293" s="34">
        <f t="shared" si="8"/>
        <v>1162.79</v>
      </c>
    </row>
    <row r="294" spans="1:6" outlineLevel="1">
      <c r="A294" s="32">
        <v>18</v>
      </c>
      <c r="B294" s="44" t="str">
        <f>HYPERLINK("https://rabota.by/vacancy/50739590","ООО Еспортс Арена")</f>
        <v>ООО Еспортс Арена</v>
      </c>
      <c r="C294" s="33" t="s">
        <v>736</v>
      </c>
      <c r="D294" s="33" t="s">
        <v>723</v>
      </c>
      <c r="E294" s="33">
        <v>1200</v>
      </c>
      <c r="F294" s="34">
        <f t="shared" si="8"/>
        <v>1395.35</v>
      </c>
    </row>
    <row r="295" spans="1:6" outlineLevel="1">
      <c r="A295" s="32">
        <v>18</v>
      </c>
      <c r="B295" s="44" t="str">
        <f>HYPERLINK("https://rabota.by/vacancy/50133482","СООО Шондра / Боулинг-центр MADISON")</f>
        <v>СООО Шондра / Боулинг-центр MADISON</v>
      </c>
      <c r="C295" s="33" t="s">
        <v>736</v>
      </c>
      <c r="D295" s="33" t="s">
        <v>723</v>
      </c>
      <c r="E295" s="33">
        <v>825</v>
      </c>
      <c r="F295" s="34">
        <f t="shared" si="8"/>
        <v>959.3</v>
      </c>
    </row>
    <row r="296" spans="1:6" outlineLevel="1">
      <c r="A296" s="32">
        <v>18</v>
      </c>
      <c r="B296" s="44" t="str">
        <f>HYPERLINK("https://rabota.by/vacancy/50802247","ООО Лига Игры")</f>
        <v>ООО Лига Игры</v>
      </c>
      <c r="C296" s="33" t="s">
        <v>736</v>
      </c>
      <c r="D296" s="33" t="s">
        <v>723</v>
      </c>
      <c r="E296" s="33">
        <v>1200</v>
      </c>
      <c r="F296" s="34">
        <f t="shared" si="8"/>
        <v>1395.35</v>
      </c>
    </row>
    <row r="297" spans="1:6" outlineLevel="1">
      <c r="A297" s="32">
        <v>18</v>
      </c>
      <c r="B297" s="44" t="str">
        <f>HYPERLINK("https://rabota.by/resume/e5bcd18400098e49c80013a3fa4f7557524334","Официант")</f>
        <v>Официант</v>
      </c>
      <c r="C297" s="33" t="s">
        <v>736</v>
      </c>
      <c r="D297" s="33" t="s">
        <v>721</v>
      </c>
      <c r="E297" s="33">
        <v>1500</v>
      </c>
      <c r="F297" s="34">
        <f t="shared" si="8"/>
        <v>1744.19</v>
      </c>
    </row>
    <row r="298" spans="1:6" outlineLevel="1">
      <c r="A298" s="32">
        <v>18</v>
      </c>
      <c r="B298" s="44" t="str">
        <f>HYPERLINK("https://rabota.by/resume/c490458800076476b70013a3fa346848393868","Официант")</f>
        <v>Официант</v>
      </c>
      <c r="C298" s="33" t="s">
        <v>736</v>
      </c>
      <c r="D298" s="33" t="s">
        <v>721</v>
      </c>
      <c r="E298" s="33">
        <v>1500</v>
      </c>
      <c r="F298" s="34">
        <f t="shared" si="8"/>
        <v>1744.19</v>
      </c>
    </row>
    <row r="299" spans="1:6" outlineLevel="1">
      <c r="A299" s="32">
        <v>18</v>
      </c>
      <c r="B299" s="44" t="str">
        <f>HYPERLINK("https://rabota.by/resume/8bd2dd410001cf373c0013a3fa74686c793664","Официант")</f>
        <v>Официант</v>
      </c>
      <c r="C299" s="33" t="s">
        <v>736</v>
      </c>
      <c r="D299" s="33" t="s">
        <v>721</v>
      </c>
      <c r="E299" s="33">
        <v>1500</v>
      </c>
      <c r="F299" s="34">
        <f t="shared" ref="F299:F326" si="9">IF(ROUND(E299/$K$11,2)&gt;0,ROUND(E299/$K$11,2),"")</f>
        <v>1744.19</v>
      </c>
    </row>
    <row r="300" spans="1:6" outlineLevel="1">
      <c r="A300" s="32">
        <v>18</v>
      </c>
      <c r="B300" s="44" t="str">
        <f>HYPERLINK("https://rabota.by/resume/ce31420700051cde330013a3fa6871557a6c54","Официант")</f>
        <v>Официант</v>
      </c>
      <c r="C300" s="33" t="s">
        <v>736</v>
      </c>
      <c r="D300" s="33" t="s">
        <v>721</v>
      </c>
      <c r="E300" s="33">
        <v>1500</v>
      </c>
      <c r="F300" s="34">
        <f t="shared" si="9"/>
        <v>1744.19</v>
      </c>
    </row>
    <row r="301" spans="1:6" outlineLevel="1">
      <c r="A301" s="32">
        <v>18</v>
      </c>
      <c r="B301" s="44" t="str">
        <f>HYPERLINK("https://rabota.by/resume/cb72ab33000881e62c0013a3fa626849645554","Официант")</f>
        <v>Официант</v>
      </c>
      <c r="C301" s="33" t="s">
        <v>736</v>
      </c>
      <c r="D301" s="33" t="s">
        <v>721</v>
      </c>
      <c r="E301" s="33">
        <v>1500</v>
      </c>
      <c r="F301" s="34">
        <f t="shared" si="9"/>
        <v>1744.19</v>
      </c>
    </row>
    <row r="302" spans="1:6" outlineLevel="1">
      <c r="A302" s="32">
        <v>18</v>
      </c>
      <c r="B302" s="44" t="str">
        <f>HYPERLINK("https://rabota.by/resume/1f38bf050008937f5b0013a3fa757948496661","Официант")</f>
        <v>Официант</v>
      </c>
      <c r="C302" s="33" t="s">
        <v>736</v>
      </c>
      <c r="D302" s="33" t="s">
        <v>721</v>
      </c>
      <c r="E302" s="33">
        <v>1500</v>
      </c>
      <c r="F302" s="34">
        <f t="shared" si="9"/>
        <v>1744.19</v>
      </c>
    </row>
    <row r="303" spans="1:6" outlineLevel="1">
      <c r="A303" s="32">
        <v>18</v>
      </c>
      <c r="B303" s="44" t="str">
        <f>HYPERLINK("https://rabota.by/resume/7395880000090e6c860013a3fa585539645336","Официант")</f>
        <v>Официант</v>
      </c>
      <c r="C303" s="33" t="s">
        <v>736</v>
      </c>
      <c r="D303" s="33" t="s">
        <v>721</v>
      </c>
      <c r="E303" s="33">
        <v>1500</v>
      </c>
      <c r="F303" s="34">
        <f t="shared" si="9"/>
        <v>1744.19</v>
      </c>
    </row>
    <row r="304" spans="1:6" outlineLevel="1">
      <c r="A304" s="32">
        <v>18</v>
      </c>
      <c r="B304" s="44" t="str">
        <f>HYPERLINK("https://rabota.by/resume/92b4c92a0008432c980013a3fa57717979576f","Официант")</f>
        <v>Официант</v>
      </c>
      <c r="C304" s="33" t="s">
        <v>736</v>
      </c>
      <c r="D304" s="33" t="s">
        <v>721</v>
      </c>
      <c r="E304" s="33">
        <v>1300</v>
      </c>
      <c r="F304" s="34">
        <f t="shared" si="9"/>
        <v>1511.63</v>
      </c>
    </row>
    <row r="305" spans="1:6" outlineLevel="1">
      <c r="A305" s="32">
        <v>18</v>
      </c>
      <c r="B305" s="44" t="str">
        <f>HYPERLINK("https://rabota.by/resume/47113c48000980b4130013a3fa63424f545a4b","Официант")</f>
        <v>Официант</v>
      </c>
      <c r="C305" s="33" t="s">
        <v>736</v>
      </c>
      <c r="D305" s="33" t="s">
        <v>721</v>
      </c>
      <c r="E305" s="33">
        <v>1300</v>
      </c>
      <c r="F305" s="34">
        <f t="shared" si="9"/>
        <v>1511.63</v>
      </c>
    </row>
    <row r="306" spans="1:6" outlineLevel="1">
      <c r="A306" s="32">
        <v>18</v>
      </c>
      <c r="B306" s="44" t="str">
        <f>HYPERLINK("https://rabota.by/resume/d05b170000038f39f60013a3fa304d5346766a","Официант")</f>
        <v>Официант</v>
      </c>
      <c r="C306" s="33" t="s">
        <v>736</v>
      </c>
      <c r="D306" s="33" t="s">
        <v>721</v>
      </c>
      <c r="E306" s="33">
        <v>1300</v>
      </c>
      <c r="F306" s="34">
        <f t="shared" si="9"/>
        <v>1511.63</v>
      </c>
    </row>
    <row r="307" spans="1:6" outlineLevel="1">
      <c r="A307" s="32">
        <v>18</v>
      </c>
      <c r="B307" s="44" t="str">
        <f>HYPERLINK("https://rabota.by/resume/467222f40008ea27720013a3fa6f6d62467755","Официант")</f>
        <v>Официант</v>
      </c>
      <c r="C307" s="33" t="s">
        <v>736</v>
      </c>
      <c r="D307" s="33" t="s">
        <v>721</v>
      </c>
      <c r="E307" s="33">
        <v>800</v>
      </c>
      <c r="F307" s="34">
        <f t="shared" si="9"/>
        <v>930.23</v>
      </c>
    </row>
    <row r="308" spans="1:6" outlineLevel="1">
      <c r="A308" s="32">
        <v>18</v>
      </c>
      <c r="B308" s="44" t="str">
        <f>HYPERLINK("https://rabota.by/resume/48ff702800098c756e0013a3fa5439486d374e","Официант")</f>
        <v>Официант</v>
      </c>
      <c r="C308" s="33" t="s">
        <v>736</v>
      </c>
      <c r="D308" s="33" t="s">
        <v>721</v>
      </c>
      <c r="E308" s="33">
        <v>800</v>
      </c>
      <c r="F308" s="34">
        <f t="shared" si="9"/>
        <v>930.23</v>
      </c>
    </row>
    <row r="309" spans="1:6" outlineLevel="1">
      <c r="A309" s="32">
        <v>18</v>
      </c>
      <c r="B309" s="44" t="str">
        <f>HYPERLINK("https://rabota.by/resume/f0bf265800098f3aff0013a3fa5276374f306e","Официант")</f>
        <v>Официант</v>
      </c>
      <c r="C309" s="33" t="s">
        <v>736</v>
      </c>
      <c r="D309" s="33" t="s">
        <v>721</v>
      </c>
      <c r="E309" s="33">
        <v>800</v>
      </c>
      <c r="F309" s="34">
        <f t="shared" si="9"/>
        <v>930.23</v>
      </c>
    </row>
    <row r="310" spans="1:6" outlineLevel="1">
      <c r="A310" s="32">
        <v>18</v>
      </c>
      <c r="B310" s="44" t="str">
        <f>HYPERLINK("https://rabota.by/resume/0d2dd56900096774eb0013a3fa573872466843","Официант")</f>
        <v>Официант</v>
      </c>
      <c r="C310" s="33" t="s">
        <v>736</v>
      </c>
      <c r="D310" s="33" t="s">
        <v>721</v>
      </c>
      <c r="E310" s="33">
        <v>800</v>
      </c>
      <c r="F310" s="34">
        <f t="shared" si="9"/>
        <v>930.23</v>
      </c>
    </row>
    <row r="311" spans="1:6" outlineLevel="1">
      <c r="A311" s="32">
        <v>18</v>
      </c>
      <c r="B311" s="44" t="str">
        <f>HYPERLINK("https://rabota.by/resume/1b265e0200098c8f5d0013a3fa414b57706879","Официант")</f>
        <v>Официант</v>
      </c>
      <c r="C311" s="33" t="s">
        <v>736</v>
      </c>
      <c r="D311" s="33" t="s">
        <v>721</v>
      </c>
      <c r="E311" s="33">
        <v>800</v>
      </c>
      <c r="F311" s="34">
        <f t="shared" si="9"/>
        <v>930.23</v>
      </c>
    </row>
    <row r="312" spans="1:6" outlineLevel="1">
      <c r="A312" s="32">
        <v>18</v>
      </c>
      <c r="B312" s="44" t="str">
        <f>HYPERLINK("https://rabota.by/resume/fcde79a300098d91c20013a3fa5765764b7a6c","Официант")</f>
        <v>Официант</v>
      </c>
      <c r="C312" s="33" t="s">
        <v>736</v>
      </c>
      <c r="D312" s="33" t="s">
        <v>721</v>
      </c>
      <c r="E312" s="33">
        <v>800</v>
      </c>
      <c r="F312" s="34">
        <f t="shared" si="9"/>
        <v>930.23</v>
      </c>
    </row>
    <row r="313" spans="1:6" outlineLevel="1">
      <c r="A313" s="32">
        <v>18</v>
      </c>
      <c r="B313" s="44" t="str">
        <f>HYPERLINK("https://rabota.by/resume/8a1111020008bf95600013a3fa37556347636b","Официант")</f>
        <v>Официант</v>
      </c>
      <c r="C313" s="33" t="s">
        <v>736</v>
      </c>
      <c r="D313" s="33" t="s">
        <v>721</v>
      </c>
      <c r="E313" s="33">
        <v>800</v>
      </c>
      <c r="F313" s="34">
        <f t="shared" si="9"/>
        <v>930.23</v>
      </c>
    </row>
    <row r="314" spans="1:6" outlineLevel="1">
      <c r="A314" s="32">
        <v>18</v>
      </c>
      <c r="B314" s="44" t="str">
        <f>HYPERLINK("https://rabota.by/resume/7df3865800084e51590013a3fa344c584a5657","Официант")</f>
        <v>Официант</v>
      </c>
      <c r="C314" s="33" t="s">
        <v>736</v>
      </c>
      <c r="D314" s="33" t="s">
        <v>721</v>
      </c>
      <c r="E314" s="33">
        <v>800</v>
      </c>
      <c r="F314" s="34">
        <f t="shared" si="9"/>
        <v>930.23</v>
      </c>
    </row>
    <row r="315" spans="1:6" outlineLevel="1">
      <c r="A315" s="32">
        <v>18</v>
      </c>
      <c r="B315" s="44" t="str">
        <f>HYPERLINK("https://rabota.by/resume/14e3733600098f15800013a3fa74586a43624d","Официант")</f>
        <v>Официант</v>
      </c>
      <c r="C315" s="33" t="s">
        <v>736</v>
      </c>
      <c r="D315" s="33" t="s">
        <v>721</v>
      </c>
      <c r="E315" s="33">
        <v>800</v>
      </c>
      <c r="F315" s="34">
        <f t="shared" si="9"/>
        <v>930.23</v>
      </c>
    </row>
    <row r="316" spans="1:6" outlineLevel="1">
      <c r="A316" s="32">
        <v>18</v>
      </c>
      <c r="B316" s="44" t="str">
        <f>HYPERLINK("https://rabota.by/resume/3a6392e3000997b8f60013a3fa335945535934","Официант")</f>
        <v>Официант</v>
      </c>
      <c r="C316" s="33" t="s">
        <v>736</v>
      </c>
      <c r="D316" s="33" t="s">
        <v>721</v>
      </c>
      <c r="E316" s="33">
        <v>800</v>
      </c>
      <c r="F316" s="34">
        <f t="shared" si="9"/>
        <v>930.23</v>
      </c>
    </row>
    <row r="317" spans="1:6" outlineLevel="1">
      <c r="A317" s="32">
        <v>18</v>
      </c>
      <c r="B317" s="44" t="str">
        <f>HYPERLINK("https://rabota.by/resume/c54b73d300033ae5dd0013a3fa546e41775357","Официант")</f>
        <v>Официант</v>
      </c>
      <c r="C317" s="33" t="s">
        <v>736</v>
      </c>
      <c r="D317" s="33" t="s">
        <v>721</v>
      </c>
      <c r="E317" s="33">
        <v>800</v>
      </c>
      <c r="F317" s="34">
        <f t="shared" si="9"/>
        <v>930.23</v>
      </c>
    </row>
    <row r="318" spans="1:6" outlineLevel="1">
      <c r="A318" s="32">
        <v>18</v>
      </c>
      <c r="B318" s="44" t="str">
        <f>HYPERLINK("https://rabota.by/resume/b0cd5a41000948c8c70013a3fa3533366f4a6e","Официант")</f>
        <v>Официант</v>
      </c>
      <c r="C318" s="33" t="s">
        <v>736</v>
      </c>
      <c r="D318" s="33" t="s">
        <v>721</v>
      </c>
      <c r="E318" s="33">
        <v>450</v>
      </c>
      <c r="F318" s="34">
        <f t="shared" si="9"/>
        <v>523.26</v>
      </c>
    </row>
    <row r="319" spans="1:6" outlineLevel="1">
      <c r="A319" s="32">
        <v>18</v>
      </c>
      <c r="B319" s="44" t="str">
        <f>HYPERLINK("https://rabota.by/resume/2073ffd000097874720013a3fa61755a705361","Официант")</f>
        <v>Официант</v>
      </c>
      <c r="C319" s="33" t="s">
        <v>736</v>
      </c>
      <c r="D319" s="33" t="s">
        <v>721</v>
      </c>
      <c r="E319" s="33">
        <v>400</v>
      </c>
      <c r="F319" s="34">
        <f t="shared" si="9"/>
        <v>465.12</v>
      </c>
    </row>
    <row r="320" spans="1:6" outlineLevel="1">
      <c r="A320" s="32">
        <v>18</v>
      </c>
      <c r="B320" s="44" t="str">
        <f>HYPERLINK("https://rabota.by/resume/193ed581000880689c0013a3fa6d46796a6262","Официант")</f>
        <v>Официант</v>
      </c>
      <c r="C320" s="33" t="s">
        <v>736</v>
      </c>
      <c r="D320" s="33" t="s">
        <v>721</v>
      </c>
      <c r="E320" s="33">
        <v>400</v>
      </c>
      <c r="F320" s="34">
        <f t="shared" si="9"/>
        <v>465.12</v>
      </c>
    </row>
    <row r="321" spans="1:6" outlineLevel="1">
      <c r="A321" s="32">
        <v>18</v>
      </c>
      <c r="B321" s="44" t="str">
        <f>HYPERLINK("https://rabota.by/resume/274ee45c0006ce1e440013a3fa39465646534c","Официант")</f>
        <v>Официант</v>
      </c>
      <c r="C321" s="33" t="s">
        <v>736</v>
      </c>
      <c r="D321" s="33" t="s">
        <v>721</v>
      </c>
      <c r="E321" s="33">
        <v>400</v>
      </c>
      <c r="F321" s="34">
        <f t="shared" si="9"/>
        <v>465.12</v>
      </c>
    </row>
    <row r="322" spans="1:6" outlineLevel="1">
      <c r="A322" s="32">
        <v>18</v>
      </c>
      <c r="B322" s="44" t="str">
        <f>HYPERLINK("https://rabota.by/resume/1120bb42000803b24e0013a3fa4d31706e6d52","Официант")</f>
        <v>Официант</v>
      </c>
      <c r="C322" s="33" t="s">
        <v>736</v>
      </c>
      <c r="D322" s="33" t="s">
        <v>721</v>
      </c>
      <c r="E322" s="33">
        <v>400</v>
      </c>
      <c r="F322" s="34">
        <f t="shared" si="9"/>
        <v>465.12</v>
      </c>
    </row>
    <row r="323" spans="1:6" outlineLevel="1">
      <c r="A323" s="32">
        <v>18</v>
      </c>
      <c r="B323" s="44" t="str">
        <f>HYPERLINK("https://rabota.by/resume/bfd7963f00095f28090013a3fa68466d613138","Официант")</f>
        <v>Официант</v>
      </c>
      <c r="C323" s="33" t="s">
        <v>736</v>
      </c>
      <c r="D323" s="33" t="s">
        <v>721</v>
      </c>
      <c r="E323" s="33">
        <v>400</v>
      </c>
      <c r="F323" s="34">
        <f t="shared" si="9"/>
        <v>465.12</v>
      </c>
    </row>
    <row r="324" spans="1:6" outlineLevel="1">
      <c r="A324" s="32">
        <v>18</v>
      </c>
      <c r="B324" s="44" t="str">
        <f>HYPERLINK("https://rabota.by/resume/8845464d00095ed2330013a3fa654764694467","Официант")</f>
        <v>Официант</v>
      </c>
      <c r="C324" s="33" t="s">
        <v>736</v>
      </c>
      <c r="D324" s="33" t="s">
        <v>721</v>
      </c>
      <c r="E324" s="33">
        <v>300</v>
      </c>
      <c r="F324" s="34">
        <f t="shared" si="9"/>
        <v>348.84</v>
      </c>
    </row>
    <row r="325" spans="1:6" outlineLevel="1">
      <c r="A325" s="32">
        <v>18</v>
      </c>
      <c r="B325" s="44" t="str">
        <f>HYPERLINK("https://rabota.by/resume/e9961851000942a2210013a3fa506d7574686b","Официант")</f>
        <v>Официант</v>
      </c>
      <c r="C325" s="33" t="s">
        <v>736</v>
      </c>
      <c r="D325" s="33" t="s">
        <v>721</v>
      </c>
      <c r="E325" s="33">
        <v>250</v>
      </c>
      <c r="F325" s="34">
        <f t="shared" si="9"/>
        <v>290.7</v>
      </c>
    </row>
    <row r="326" spans="1:6" outlineLevel="1">
      <c r="A326" s="32">
        <v>18</v>
      </c>
      <c r="B326" s="44" t="str">
        <f>HYPERLINK("https://rabota.by/resume/1bd6def100098ea0f40013a3fa4b53326f7034","Официант")</f>
        <v>Официант</v>
      </c>
      <c r="C326" s="33" t="s">
        <v>736</v>
      </c>
      <c r="D326" s="33" t="s">
        <v>721</v>
      </c>
      <c r="E326" s="33">
        <v>200</v>
      </c>
      <c r="F326" s="34">
        <f t="shared" si="9"/>
        <v>232.56</v>
      </c>
    </row>
    <row r="327" spans="1:6">
      <c r="A327" s="35"/>
      <c r="B327" s="35"/>
      <c r="C327" s="35"/>
      <c r="D327" s="35"/>
      <c r="E327" s="35"/>
      <c r="F327" s="34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workbookViewId="0">
      <selection activeCell="E27" sqref="E27"/>
    </sheetView>
  </sheetViews>
  <sheetFormatPr defaultRowHeight="15"/>
  <cols>
    <col min="1" max="1" width="27.28515625" customWidth="1"/>
  </cols>
  <sheetData>
    <row r="1" spans="1:2">
      <c r="A1" t="s">
        <v>362</v>
      </c>
      <c r="B1" s="48" t="s">
        <v>805</v>
      </c>
    </row>
    <row r="2" spans="1:2">
      <c r="A2" t="s">
        <v>806</v>
      </c>
      <c r="B2" t="s">
        <v>807</v>
      </c>
    </row>
    <row r="3" spans="1:2">
      <c r="A3" t="s">
        <v>808</v>
      </c>
      <c r="B3" t="s">
        <v>809</v>
      </c>
    </row>
    <row r="4" spans="1:2">
      <c r="A4" t="s">
        <v>810</v>
      </c>
      <c r="B4" t="s">
        <v>811</v>
      </c>
    </row>
    <row r="5" spans="1:2">
      <c r="A5" t="s">
        <v>362</v>
      </c>
      <c r="B5" t="s">
        <v>812</v>
      </c>
    </row>
    <row r="6" spans="1:2">
      <c r="A6" t="s">
        <v>362</v>
      </c>
      <c r="B6" t="s">
        <v>813</v>
      </c>
    </row>
    <row r="7" spans="1:2">
      <c r="A7" t="s">
        <v>814</v>
      </c>
      <c r="B7" t="s">
        <v>815</v>
      </c>
    </row>
    <row r="8" spans="1:2">
      <c r="A8" t="s">
        <v>816</v>
      </c>
      <c r="B8" t="s">
        <v>817</v>
      </c>
    </row>
    <row r="9" spans="1:2">
      <c r="A9" t="s">
        <v>362</v>
      </c>
      <c r="B9" t="s">
        <v>818</v>
      </c>
    </row>
    <row r="10" spans="1:2">
      <c r="A10" t="s">
        <v>819</v>
      </c>
      <c r="B10" t="s">
        <v>820</v>
      </c>
    </row>
    <row r="11" spans="1:2">
      <c r="A11" t="s">
        <v>362</v>
      </c>
      <c r="B11" t="s">
        <v>821</v>
      </c>
    </row>
    <row r="12" spans="1:2">
      <c r="A12" t="s">
        <v>822</v>
      </c>
      <c r="B12" t="s">
        <v>823</v>
      </c>
    </row>
    <row r="13" spans="1:2">
      <c r="A13" t="s">
        <v>819</v>
      </c>
      <c r="B13" t="s">
        <v>824</v>
      </c>
    </row>
    <row r="14" spans="1:2">
      <c r="A14" t="s">
        <v>819</v>
      </c>
      <c r="B14" t="s">
        <v>825</v>
      </c>
    </row>
    <row r="15" spans="1:2">
      <c r="A15" t="s">
        <v>826</v>
      </c>
      <c r="B15" t="s">
        <v>827</v>
      </c>
    </row>
    <row r="16" spans="1:2">
      <c r="A16" t="s">
        <v>808</v>
      </c>
      <c r="B16" t="s">
        <v>828</v>
      </c>
    </row>
    <row r="17" spans="1:2">
      <c r="A17" t="s">
        <v>362</v>
      </c>
      <c r="B17" t="s">
        <v>829</v>
      </c>
    </row>
    <row r="18" spans="1:2">
      <c r="A18" t="s">
        <v>819</v>
      </c>
      <c r="B18" t="s">
        <v>830</v>
      </c>
    </row>
    <row r="19" spans="1:2">
      <c r="A19" t="s">
        <v>819</v>
      </c>
      <c r="B19" t="s">
        <v>831</v>
      </c>
    </row>
    <row r="20" spans="1:2">
      <c r="A20" t="s">
        <v>832</v>
      </c>
      <c r="B20" t="s">
        <v>833</v>
      </c>
    </row>
    <row r="21" spans="1:2">
      <c r="A21" t="s">
        <v>819</v>
      </c>
      <c r="B21" t="s">
        <v>834</v>
      </c>
    </row>
    <row r="22" spans="1:2">
      <c r="A22" t="s">
        <v>362</v>
      </c>
      <c r="B22" t="s">
        <v>835</v>
      </c>
    </row>
    <row r="23" spans="1:2">
      <c r="A23" t="s">
        <v>836</v>
      </c>
      <c r="B23" t="s">
        <v>837</v>
      </c>
    </row>
    <row r="24" spans="1:2">
      <c r="A24" t="s">
        <v>838</v>
      </c>
      <c r="B24" t="s">
        <v>839</v>
      </c>
    </row>
    <row r="25" spans="1:2">
      <c r="A25" t="s">
        <v>840</v>
      </c>
      <c r="B25" t="s">
        <v>841</v>
      </c>
    </row>
    <row r="26" spans="1:2">
      <c r="A26" t="s">
        <v>362</v>
      </c>
      <c r="B26" t="s">
        <v>842</v>
      </c>
    </row>
    <row r="27" spans="1:2">
      <c r="A27" t="s">
        <v>843</v>
      </c>
      <c r="B27" t="s">
        <v>844</v>
      </c>
    </row>
    <row r="28" spans="1:2">
      <c r="A28" t="s">
        <v>819</v>
      </c>
      <c r="B28" t="s">
        <v>845</v>
      </c>
    </row>
    <row r="29" spans="1:2">
      <c r="A29" t="s">
        <v>846</v>
      </c>
      <c r="B29" t="s">
        <v>847</v>
      </c>
    </row>
    <row r="30" spans="1:2">
      <c r="A30" t="s">
        <v>848</v>
      </c>
      <c r="B30" t="s">
        <v>849</v>
      </c>
    </row>
    <row r="31" spans="1:2">
      <c r="A31" t="s">
        <v>819</v>
      </c>
      <c r="B31" t="s">
        <v>850</v>
      </c>
    </row>
    <row r="32" spans="1:2">
      <c r="A32" t="s">
        <v>851</v>
      </c>
      <c r="B32" t="s">
        <v>852</v>
      </c>
    </row>
    <row r="33" spans="1:2">
      <c r="A33" t="s">
        <v>819</v>
      </c>
      <c r="B33" t="s">
        <v>853</v>
      </c>
    </row>
    <row r="34" spans="1:2">
      <c r="A34" t="s">
        <v>854</v>
      </c>
      <c r="B34" t="s">
        <v>855</v>
      </c>
    </row>
    <row r="35" spans="1:2">
      <c r="A35" t="s">
        <v>819</v>
      </c>
      <c r="B35" t="s">
        <v>856</v>
      </c>
    </row>
    <row r="36" spans="1:2">
      <c r="A36" t="s">
        <v>857</v>
      </c>
      <c r="B36" t="s">
        <v>858</v>
      </c>
    </row>
    <row r="37" spans="1:2">
      <c r="A37" t="s">
        <v>362</v>
      </c>
      <c r="B37" t="s">
        <v>859</v>
      </c>
    </row>
    <row r="38" spans="1:2">
      <c r="A38" t="s">
        <v>860</v>
      </c>
      <c r="B38" t="s">
        <v>861</v>
      </c>
    </row>
    <row r="39" spans="1:2">
      <c r="A39" t="s">
        <v>819</v>
      </c>
      <c r="B39" t="s">
        <v>862</v>
      </c>
    </row>
    <row r="40" spans="1:2">
      <c r="A40" t="s">
        <v>863</v>
      </c>
      <c r="B40" t="s">
        <v>864</v>
      </c>
    </row>
    <row r="41" spans="1:2">
      <c r="A41" t="s">
        <v>865</v>
      </c>
      <c r="B41" t="s">
        <v>866</v>
      </c>
    </row>
    <row r="42" spans="1:2">
      <c r="A42" t="s">
        <v>362</v>
      </c>
      <c r="B42" t="s">
        <v>867</v>
      </c>
    </row>
    <row r="43" spans="1:2">
      <c r="A43" t="s">
        <v>362</v>
      </c>
      <c r="B43" t="s">
        <v>868</v>
      </c>
    </row>
    <row r="44" spans="1:2">
      <c r="A44" t="s">
        <v>819</v>
      </c>
      <c r="B44" t="s">
        <v>869</v>
      </c>
    </row>
    <row r="45" spans="1:2">
      <c r="A45" t="s">
        <v>819</v>
      </c>
      <c r="B45" t="s">
        <v>870</v>
      </c>
    </row>
    <row r="46" spans="1:2">
      <c r="A46" t="s">
        <v>819</v>
      </c>
      <c r="B46" t="s">
        <v>871</v>
      </c>
    </row>
    <row r="47" spans="1:2">
      <c r="A47" t="s">
        <v>872</v>
      </c>
      <c r="B47" t="s">
        <v>873</v>
      </c>
    </row>
    <row r="48" spans="1:2">
      <c r="A48" t="s">
        <v>874</v>
      </c>
      <c r="B48" t="s">
        <v>875</v>
      </c>
    </row>
    <row r="49" spans="1:2">
      <c r="A49" t="s">
        <v>876</v>
      </c>
      <c r="B49" t="s">
        <v>877</v>
      </c>
    </row>
    <row r="50" spans="1:2">
      <c r="A50" t="s">
        <v>878</v>
      </c>
      <c r="B50" t="s">
        <v>879</v>
      </c>
    </row>
    <row r="51" spans="1:2">
      <c r="A51" t="s">
        <v>819</v>
      </c>
      <c r="B51" t="s">
        <v>880</v>
      </c>
    </row>
    <row r="52" spans="1:2">
      <c r="A52" t="s">
        <v>881</v>
      </c>
      <c r="B52" t="s">
        <v>882</v>
      </c>
    </row>
    <row r="53" spans="1:2">
      <c r="A53" t="s">
        <v>883</v>
      </c>
      <c r="B53" t="s">
        <v>884</v>
      </c>
    </row>
    <row r="54" spans="1:2">
      <c r="A54" t="s">
        <v>885</v>
      </c>
      <c r="B54" t="s">
        <v>886</v>
      </c>
    </row>
    <row r="55" spans="1:2">
      <c r="A55" t="s">
        <v>362</v>
      </c>
      <c r="B55" t="s">
        <v>887</v>
      </c>
    </row>
    <row r="56" spans="1:2">
      <c r="A56" t="s">
        <v>819</v>
      </c>
      <c r="B56" t="s">
        <v>888</v>
      </c>
    </row>
    <row r="57" spans="1:2">
      <c r="A57" t="s">
        <v>362</v>
      </c>
      <c r="B57" t="s">
        <v>889</v>
      </c>
    </row>
    <row r="58" spans="1:2">
      <c r="A58" t="s">
        <v>819</v>
      </c>
      <c r="B58" t="s">
        <v>890</v>
      </c>
    </row>
    <row r="59" spans="1:2">
      <c r="A59" t="s">
        <v>362</v>
      </c>
      <c r="B59" t="s">
        <v>891</v>
      </c>
    </row>
    <row r="60" spans="1:2">
      <c r="A60" t="s">
        <v>819</v>
      </c>
      <c r="B60" t="s">
        <v>892</v>
      </c>
    </row>
    <row r="61" spans="1:2">
      <c r="A61" t="s">
        <v>362</v>
      </c>
      <c r="B61" t="s">
        <v>893</v>
      </c>
    </row>
    <row r="62" spans="1:2">
      <c r="A62" t="s">
        <v>819</v>
      </c>
      <c r="B62" t="s">
        <v>894</v>
      </c>
    </row>
    <row r="63" spans="1:2">
      <c r="A63" t="s">
        <v>819</v>
      </c>
      <c r="B63" t="s">
        <v>895</v>
      </c>
    </row>
    <row r="64" spans="1:2">
      <c r="A64" t="s">
        <v>819</v>
      </c>
      <c r="B64" t="s">
        <v>896</v>
      </c>
    </row>
    <row r="65" spans="1:2">
      <c r="A65" t="s">
        <v>897</v>
      </c>
      <c r="B65" t="s">
        <v>898</v>
      </c>
    </row>
    <row r="66" spans="1:2">
      <c r="A66" t="s">
        <v>362</v>
      </c>
      <c r="B66" t="s">
        <v>899</v>
      </c>
    </row>
    <row r="67" spans="1:2">
      <c r="A67" t="s">
        <v>819</v>
      </c>
      <c r="B67" t="s">
        <v>900</v>
      </c>
    </row>
    <row r="68" spans="1:2">
      <c r="A68" t="s">
        <v>362</v>
      </c>
      <c r="B68" t="s">
        <v>901</v>
      </c>
    </row>
    <row r="69" spans="1:2">
      <c r="A69" t="s">
        <v>819</v>
      </c>
      <c r="B69" t="s">
        <v>902</v>
      </c>
    </row>
    <row r="70" spans="1:2">
      <c r="A70" t="s">
        <v>903</v>
      </c>
      <c r="B70" t="s">
        <v>904</v>
      </c>
    </row>
    <row r="71" spans="1:2">
      <c r="A71" t="s">
        <v>362</v>
      </c>
      <c r="B71" t="s">
        <v>905</v>
      </c>
    </row>
    <row r="72" spans="1:2">
      <c r="A72" t="s">
        <v>819</v>
      </c>
      <c r="B72" t="s">
        <v>906</v>
      </c>
    </row>
    <row r="73" spans="1:2">
      <c r="A73" t="s">
        <v>907</v>
      </c>
      <c r="B73" t="s">
        <v>908</v>
      </c>
    </row>
    <row r="74" spans="1:2">
      <c r="A74" t="s">
        <v>819</v>
      </c>
      <c r="B74" t="s">
        <v>909</v>
      </c>
    </row>
    <row r="75" spans="1:2">
      <c r="A75" t="s">
        <v>819</v>
      </c>
      <c r="B75" t="s">
        <v>910</v>
      </c>
    </row>
    <row r="76" spans="1:2">
      <c r="A76" t="s">
        <v>362</v>
      </c>
      <c r="B76" t="s">
        <v>911</v>
      </c>
    </row>
    <row r="77" spans="1:2">
      <c r="A77" t="s">
        <v>362</v>
      </c>
      <c r="B77" t="s">
        <v>912</v>
      </c>
    </row>
    <row r="78" spans="1:2">
      <c r="A78" t="s">
        <v>913</v>
      </c>
      <c r="B78" t="s">
        <v>914</v>
      </c>
    </row>
    <row r="79" spans="1:2">
      <c r="A79" t="s">
        <v>819</v>
      </c>
      <c r="B79" t="s">
        <v>915</v>
      </c>
    </row>
    <row r="80" spans="1:2">
      <c r="A80" t="s">
        <v>819</v>
      </c>
      <c r="B80" t="s">
        <v>916</v>
      </c>
    </row>
    <row r="81" spans="1:2">
      <c r="A81" t="s">
        <v>917</v>
      </c>
      <c r="B81" t="s">
        <v>918</v>
      </c>
    </row>
    <row r="82" spans="1:2">
      <c r="A82" t="s">
        <v>819</v>
      </c>
      <c r="B82" t="s">
        <v>919</v>
      </c>
    </row>
    <row r="83" spans="1:2">
      <c r="A83" t="s">
        <v>819</v>
      </c>
      <c r="B83" t="s">
        <v>920</v>
      </c>
    </row>
    <row r="84" spans="1:2">
      <c r="A84" t="s">
        <v>921</v>
      </c>
      <c r="B84" t="s">
        <v>922</v>
      </c>
    </row>
    <row r="85" spans="1:2">
      <c r="A85" t="s">
        <v>819</v>
      </c>
      <c r="B85" t="s">
        <v>923</v>
      </c>
    </row>
    <row r="86" spans="1:2">
      <c r="A86" t="s">
        <v>924</v>
      </c>
      <c r="B86" t="s">
        <v>925</v>
      </c>
    </row>
    <row r="87" spans="1:2">
      <c r="A87" t="s">
        <v>819</v>
      </c>
      <c r="B87" t="s">
        <v>926</v>
      </c>
    </row>
    <row r="88" spans="1:2">
      <c r="A88" t="s">
        <v>362</v>
      </c>
      <c r="B88" t="s">
        <v>927</v>
      </c>
    </row>
    <row r="89" spans="1:2">
      <c r="A89" t="s">
        <v>928</v>
      </c>
      <c r="B89" t="s">
        <v>929</v>
      </c>
    </row>
    <row r="90" spans="1:2">
      <c r="A90" t="s">
        <v>819</v>
      </c>
      <c r="B90" t="s">
        <v>930</v>
      </c>
    </row>
    <row r="91" spans="1:2">
      <c r="A91" t="s">
        <v>362</v>
      </c>
      <c r="B91" t="s">
        <v>931</v>
      </c>
    </row>
    <row r="92" spans="1:2">
      <c r="A92" t="s">
        <v>881</v>
      </c>
      <c r="B92" t="s">
        <v>932</v>
      </c>
    </row>
    <row r="93" spans="1:2">
      <c r="A93" t="s">
        <v>362</v>
      </c>
      <c r="B93" t="s">
        <v>933</v>
      </c>
    </row>
    <row r="94" spans="1:2">
      <c r="A94" t="s">
        <v>934</v>
      </c>
      <c r="B94" t="s">
        <v>935</v>
      </c>
    </row>
    <row r="95" spans="1:2">
      <c r="A95" t="s">
        <v>819</v>
      </c>
      <c r="B95" t="s">
        <v>936</v>
      </c>
    </row>
    <row r="96" spans="1:2">
      <c r="A96" t="s">
        <v>362</v>
      </c>
      <c r="B96" t="s">
        <v>937</v>
      </c>
    </row>
    <row r="97" spans="1:2">
      <c r="A97" t="s">
        <v>362</v>
      </c>
      <c r="B97" t="s">
        <v>938</v>
      </c>
    </row>
    <row r="98" spans="1:2">
      <c r="A98" t="s">
        <v>362</v>
      </c>
      <c r="B98" t="s">
        <v>939</v>
      </c>
    </row>
    <row r="99" spans="1:2">
      <c r="A99" t="s">
        <v>819</v>
      </c>
      <c r="B99" t="s">
        <v>940</v>
      </c>
    </row>
    <row r="100" spans="1:2">
      <c r="A100" t="s">
        <v>881</v>
      </c>
      <c r="B100" t="s">
        <v>941</v>
      </c>
    </row>
  </sheetData>
  <hyperlinks>
    <hyperlink ref="B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7" customWidth="1"/>
    <col min="5" max="5" width="50.7109375" customWidth="1"/>
    <col min="6" max="9" width="11" customWidth="1"/>
  </cols>
  <sheetData>
    <row r="1" spans="1:7" s="7" customFormat="1"/>
    <row r="2" spans="1:7" ht="30">
      <c r="A2" s="37" t="s">
        <v>0</v>
      </c>
      <c r="B2" s="37" t="s">
        <v>737</v>
      </c>
      <c r="C2" s="37" t="s">
        <v>738</v>
      </c>
      <c r="D2" s="38" t="s">
        <v>739</v>
      </c>
      <c r="E2" s="37" t="s">
        <v>740</v>
      </c>
    </row>
    <row r="3" spans="1:7" s="7" customFormat="1" ht="30" hidden="1" customHeight="1">
      <c r="A3" s="39">
        <v>6</v>
      </c>
      <c r="B3" s="47" t="s">
        <v>741</v>
      </c>
      <c r="C3" s="40" t="s">
        <v>742</v>
      </c>
      <c r="D3" s="46" t="s">
        <v>743</v>
      </c>
      <c r="E3" s="46" t="s">
        <v>741</v>
      </c>
    </row>
    <row r="4" spans="1:7" s="7" customFormat="1" hidden="1">
      <c r="A4" s="39">
        <v>6</v>
      </c>
      <c r="B4" s="47"/>
      <c r="C4" s="40" t="s">
        <v>23</v>
      </c>
      <c r="D4" s="46"/>
      <c r="E4" s="46"/>
    </row>
    <row r="5" spans="1:7" s="7" customFormat="1" ht="30" hidden="1">
      <c r="A5" s="39">
        <v>6</v>
      </c>
      <c r="B5" s="47"/>
      <c r="C5" s="40" t="s">
        <v>744</v>
      </c>
      <c r="D5" s="46"/>
      <c r="E5" s="46"/>
    </row>
    <row r="6" spans="1:7" s="7" customFormat="1" ht="30" hidden="1">
      <c r="A6" s="39">
        <v>6</v>
      </c>
      <c r="B6" s="47"/>
      <c r="C6" s="40" t="s">
        <v>745</v>
      </c>
      <c r="D6" s="46"/>
      <c r="E6" s="46"/>
    </row>
    <row r="7" spans="1:7" s="7" customFormat="1" ht="90" hidden="1" customHeight="1">
      <c r="A7" s="42">
        <v>7</v>
      </c>
      <c r="B7" s="46" t="s">
        <v>746</v>
      </c>
      <c r="C7" s="40" t="s">
        <v>747</v>
      </c>
      <c r="D7" s="46" t="s">
        <v>748</v>
      </c>
      <c r="E7" s="46" t="s">
        <v>749</v>
      </c>
    </row>
    <row r="8" spans="1:7" ht="60" hidden="1">
      <c r="A8" s="42">
        <v>7</v>
      </c>
      <c r="B8" s="46"/>
      <c r="C8" s="40" t="s">
        <v>750</v>
      </c>
      <c r="D8" s="46"/>
      <c r="E8" s="46"/>
      <c r="G8" s="7"/>
    </row>
    <row r="9" spans="1:7" s="7" customFormat="1" ht="75" hidden="1" customHeight="1">
      <c r="A9" s="42">
        <v>8</v>
      </c>
      <c r="B9" s="46" t="s">
        <v>751</v>
      </c>
      <c r="C9" s="40" t="s">
        <v>752</v>
      </c>
      <c r="D9" s="46" t="s">
        <v>748</v>
      </c>
      <c r="E9" s="46" t="s">
        <v>753</v>
      </c>
    </row>
    <row r="10" spans="1:7" s="7" customFormat="1" ht="60" hidden="1">
      <c r="A10" s="42">
        <v>8</v>
      </c>
      <c r="B10" s="46"/>
      <c r="C10" s="40" t="s">
        <v>754</v>
      </c>
      <c r="D10" s="46"/>
      <c r="E10" s="46"/>
    </row>
    <row r="11" spans="1:7" s="7" customFormat="1" ht="79.900000000000006" hidden="1" customHeight="1">
      <c r="A11" s="42">
        <v>9</v>
      </c>
      <c r="B11" s="46" t="s">
        <v>755</v>
      </c>
      <c r="C11" s="40" t="s">
        <v>48</v>
      </c>
      <c r="D11" s="46" t="s">
        <v>756</v>
      </c>
      <c r="E11" s="46" t="s">
        <v>757</v>
      </c>
    </row>
    <row r="12" spans="1:7" ht="79.900000000000006" hidden="1" customHeight="1">
      <c r="A12" s="42">
        <v>9</v>
      </c>
      <c r="B12" s="46"/>
      <c r="C12" s="40" t="s">
        <v>758</v>
      </c>
      <c r="D12" s="46"/>
      <c r="E12" s="46"/>
      <c r="G12" s="7"/>
    </row>
    <row r="13" spans="1:7" s="7" customFormat="1" ht="25.15" hidden="1" customHeight="1">
      <c r="A13" s="42">
        <v>10</v>
      </c>
      <c r="B13" s="46" t="s">
        <v>759</v>
      </c>
      <c r="C13" s="40" t="s">
        <v>760</v>
      </c>
      <c r="D13" s="46" t="s">
        <v>756</v>
      </c>
      <c r="E13" s="46" t="s">
        <v>761</v>
      </c>
    </row>
    <row r="14" spans="1:7" s="7" customFormat="1" ht="48.6" hidden="1" customHeight="1">
      <c r="A14" s="42">
        <v>10</v>
      </c>
      <c r="B14" s="46"/>
      <c r="C14" s="40" t="s">
        <v>762</v>
      </c>
      <c r="D14" s="46"/>
      <c r="E14" s="46"/>
    </row>
    <row r="15" spans="1:7" s="7" customFormat="1" ht="25.15" hidden="1" customHeight="1">
      <c r="A15" s="42">
        <v>10</v>
      </c>
      <c r="B15" s="46"/>
      <c r="C15" s="40" t="s">
        <v>56</v>
      </c>
      <c r="D15" s="46"/>
      <c r="E15" s="46"/>
    </row>
    <row r="16" spans="1:7" ht="25.15" hidden="1" customHeight="1">
      <c r="A16" s="42">
        <v>10</v>
      </c>
      <c r="B16" s="46"/>
      <c r="C16" s="40" t="s">
        <v>763</v>
      </c>
      <c r="D16" s="41" t="s">
        <v>764</v>
      </c>
      <c r="E16" s="46"/>
      <c r="G16" s="7"/>
    </row>
    <row r="17" spans="1:7" s="7" customFormat="1" ht="30" hidden="1" customHeight="1">
      <c r="A17" s="39">
        <v>12</v>
      </c>
      <c r="B17" s="46" t="s">
        <v>765</v>
      </c>
      <c r="C17" s="40" t="s">
        <v>766</v>
      </c>
      <c r="D17" s="46" t="s">
        <v>756</v>
      </c>
      <c r="E17" s="46" t="s">
        <v>767</v>
      </c>
    </row>
    <row r="18" spans="1:7" s="7" customFormat="1" ht="30" hidden="1">
      <c r="A18" s="39">
        <v>12</v>
      </c>
      <c r="B18" s="46"/>
      <c r="C18" s="40" t="s">
        <v>768</v>
      </c>
      <c r="D18" s="46"/>
      <c r="E18" s="46"/>
    </row>
    <row r="19" spans="1:7" s="7" customFormat="1" ht="30" hidden="1">
      <c r="A19" s="39">
        <v>12</v>
      </c>
      <c r="B19" s="46"/>
      <c r="C19" s="40" t="s">
        <v>769</v>
      </c>
      <c r="D19" s="46"/>
      <c r="E19" s="46"/>
    </row>
    <row r="20" spans="1:7" s="7" customFormat="1" ht="30" hidden="1">
      <c r="A20" s="39">
        <v>12</v>
      </c>
      <c r="B20" s="46"/>
      <c r="C20" s="40" t="s">
        <v>770</v>
      </c>
      <c r="D20" s="39" t="s">
        <v>764</v>
      </c>
      <c r="E20" s="46"/>
    </row>
    <row r="21" spans="1:7" s="7" customFormat="1" ht="15" hidden="1" customHeight="1">
      <c r="A21" s="39">
        <v>13</v>
      </c>
      <c r="B21" s="46" t="s">
        <v>771</v>
      </c>
      <c r="C21" s="40" t="s">
        <v>184</v>
      </c>
      <c r="D21" s="46" t="s">
        <v>772</v>
      </c>
      <c r="E21" s="46" t="s">
        <v>773</v>
      </c>
    </row>
    <row r="22" spans="1:7" s="7" customFormat="1" ht="45" hidden="1">
      <c r="A22" s="39">
        <v>13</v>
      </c>
      <c r="B22" s="46"/>
      <c r="C22" s="40" t="s">
        <v>774</v>
      </c>
      <c r="D22" s="46"/>
      <c r="E22" s="46"/>
    </row>
    <row r="23" spans="1:7" s="7" customFormat="1" ht="60" hidden="1">
      <c r="A23" s="39">
        <v>13</v>
      </c>
      <c r="B23" s="46"/>
      <c r="C23" s="40" t="s">
        <v>775</v>
      </c>
      <c r="D23" s="46"/>
      <c r="E23" s="46"/>
    </row>
    <row r="24" spans="1:7" ht="60" hidden="1">
      <c r="A24" s="39">
        <v>13</v>
      </c>
      <c r="B24" s="46"/>
      <c r="C24" s="40" t="s">
        <v>776</v>
      </c>
      <c r="D24" s="46"/>
      <c r="E24" s="46"/>
      <c r="G24" s="7"/>
    </row>
    <row r="25" spans="1:7" s="7" customFormat="1" ht="60" hidden="1">
      <c r="A25" s="39">
        <v>13</v>
      </c>
      <c r="B25" s="46"/>
      <c r="C25" s="40" t="s">
        <v>777</v>
      </c>
      <c r="D25" s="46"/>
      <c r="E25" s="46"/>
    </row>
    <row r="26" spans="1:7" s="7" customFormat="1" hidden="1">
      <c r="A26" s="39">
        <v>13</v>
      </c>
      <c r="B26" s="46"/>
      <c r="C26" s="40" t="s">
        <v>778</v>
      </c>
      <c r="D26" s="46"/>
      <c r="E26" s="46"/>
    </row>
    <row r="27" spans="1:7" s="7" customFormat="1" hidden="1">
      <c r="A27" s="39">
        <v>13</v>
      </c>
      <c r="B27" s="46"/>
      <c r="C27" s="40" t="s">
        <v>335</v>
      </c>
      <c r="D27" s="46"/>
      <c r="E27" s="46"/>
    </row>
    <row r="28" spans="1:7" s="7" customFormat="1" hidden="1">
      <c r="A28" s="39">
        <v>13</v>
      </c>
      <c r="B28" s="46"/>
      <c r="C28" s="40" t="s">
        <v>316</v>
      </c>
      <c r="D28" s="41" t="s">
        <v>764</v>
      </c>
      <c r="E28" s="46"/>
    </row>
    <row r="29" spans="1:7" s="7" customFormat="1" ht="45" hidden="1">
      <c r="A29" s="39">
        <v>13</v>
      </c>
      <c r="B29" s="46"/>
      <c r="C29" s="40" t="s">
        <v>779</v>
      </c>
      <c r="D29" s="39" t="s">
        <v>780</v>
      </c>
      <c r="E29" s="46"/>
    </row>
    <row r="30" spans="1:7" ht="15" hidden="1" customHeight="1">
      <c r="A30" s="39">
        <v>14</v>
      </c>
      <c r="B30" s="46" t="s">
        <v>781</v>
      </c>
      <c r="C30" s="40" t="s">
        <v>350</v>
      </c>
      <c r="D30" s="46" t="s">
        <v>764</v>
      </c>
      <c r="E30" s="46" t="s">
        <v>782</v>
      </c>
      <c r="G30" s="7"/>
    </row>
    <row r="31" spans="1:7" s="7" customFormat="1" ht="30" hidden="1">
      <c r="A31" s="39">
        <v>14</v>
      </c>
      <c r="B31" s="46"/>
      <c r="C31" s="40" t="s">
        <v>783</v>
      </c>
      <c r="D31" s="46"/>
      <c r="E31" s="46"/>
    </row>
    <row r="32" spans="1:7" s="7" customFormat="1" hidden="1">
      <c r="A32" s="39">
        <v>14</v>
      </c>
      <c r="B32" s="46"/>
      <c r="C32" s="40" t="s">
        <v>355</v>
      </c>
      <c r="D32" s="39" t="s">
        <v>784</v>
      </c>
      <c r="E32" s="46"/>
    </row>
    <row r="33" spans="1:9" s="7" customFormat="1" ht="15" hidden="1" customHeight="1">
      <c r="A33" s="39">
        <v>14</v>
      </c>
      <c r="B33" s="46"/>
      <c r="C33" s="40" t="s">
        <v>340</v>
      </c>
      <c r="D33" s="46" t="s">
        <v>756</v>
      </c>
      <c r="E33" s="46"/>
    </row>
    <row r="34" spans="1:9" s="7" customFormat="1" hidden="1">
      <c r="A34" s="39">
        <v>14</v>
      </c>
      <c r="B34" s="46"/>
      <c r="C34" s="40" t="s">
        <v>785</v>
      </c>
      <c r="D34" s="46"/>
      <c r="E34" s="46"/>
    </row>
    <row r="35" spans="1:9" s="7" customFormat="1" ht="60" hidden="1">
      <c r="A35" s="39">
        <v>14</v>
      </c>
      <c r="B35" s="46"/>
      <c r="C35" s="40" t="s">
        <v>786</v>
      </c>
      <c r="D35" s="46"/>
      <c r="E35" s="46"/>
    </row>
    <row r="36" spans="1:9" s="7" customFormat="1" ht="15" hidden="1" customHeight="1">
      <c r="A36" s="39">
        <v>16</v>
      </c>
      <c r="B36" s="46" t="s">
        <v>787</v>
      </c>
      <c r="C36" s="40" t="s">
        <v>788</v>
      </c>
      <c r="D36" s="46" t="s">
        <v>756</v>
      </c>
      <c r="E36" s="46" t="s">
        <v>789</v>
      </c>
    </row>
    <row r="37" spans="1:9" s="7" customFormat="1" hidden="1">
      <c r="A37" s="39">
        <v>16</v>
      </c>
      <c r="B37" s="46"/>
      <c r="C37" s="40" t="s">
        <v>790</v>
      </c>
      <c r="D37" s="46"/>
      <c r="E37" s="46"/>
    </row>
    <row r="38" spans="1:9" s="7" customFormat="1" hidden="1">
      <c r="A38" s="39">
        <v>16</v>
      </c>
      <c r="B38" s="46"/>
      <c r="C38" s="40" t="s">
        <v>791</v>
      </c>
      <c r="D38" s="46"/>
      <c r="E38" s="46"/>
    </row>
    <row r="39" spans="1:9" ht="45" hidden="1">
      <c r="A39" s="39">
        <v>16</v>
      </c>
      <c r="B39" s="46"/>
      <c r="C39" s="40" t="s">
        <v>792</v>
      </c>
      <c r="D39" s="46"/>
      <c r="E39" s="46"/>
      <c r="G39" s="7"/>
      <c r="H39" s="43"/>
      <c r="I39" s="43"/>
    </row>
    <row r="40" spans="1:9" s="7" customFormat="1" ht="45" hidden="1">
      <c r="A40" s="39">
        <v>16</v>
      </c>
      <c r="B40" s="46"/>
      <c r="C40" s="40" t="s">
        <v>793</v>
      </c>
      <c r="D40" s="46"/>
      <c r="E40" s="46"/>
      <c r="G40" s="43"/>
      <c r="H40" s="43"/>
      <c r="I40" s="43"/>
    </row>
    <row r="41" spans="1:9" s="7" customFormat="1" ht="45" hidden="1">
      <c r="A41" s="39">
        <v>16</v>
      </c>
      <c r="B41" s="46"/>
      <c r="C41" s="40" t="s">
        <v>794</v>
      </c>
      <c r="D41" s="46"/>
      <c r="E41" s="46"/>
      <c r="G41" s="43"/>
      <c r="H41" s="43"/>
      <c r="I41" s="43"/>
    </row>
    <row r="42" spans="1:9" s="7" customFormat="1" hidden="1">
      <c r="A42" s="39">
        <v>16</v>
      </c>
      <c r="B42" s="46"/>
      <c r="C42" s="40" t="s">
        <v>573</v>
      </c>
      <c r="D42" s="46"/>
      <c r="E42" s="46"/>
      <c r="G42" s="43"/>
      <c r="H42" s="43"/>
      <c r="I42" s="43"/>
    </row>
    <row r="43" spans="1:9" s="7" customFormat="1" hidden="1">
      <c r="A43" s="39">
        <v>16</v>
      </c>
      <c r="B43" s="46"/>
      <c r="C43" s="40" t="s">
        <v>795</v>
      </c>
      <c r="D43" s="46"/>
      <c r="E43" s="46"/>
      <c r="G43" s="43"/>
      <c r="H43" s="43"/>
      <c r="I43" s="43"/>
    </row>
    <row r="44" spans="1:9" ht="30" hidden="1">
      <c r="A44" s="39">
        <v>16</v>
      </c>
      <c r="B44" s="46"/>
      <c r="C44" s="40" t="s">
        <v>796</v>
      </c>
      <c r="D44" s="40" t="s">
        <v>797</v>
      </c>
      <c r="E44" s="46"/>
      <c r="G44" s="7"/>
    </row>
    <row r="45" spans="1:9" ht="32.450000000000003" customHeight="1">
      <c r="A45" s="39">
        <v>18</v>
      </c>
      <c r="B45" s="46" t="s">
        <v>798</v>
      </c>
      <c r="C45" s="40" t="s">
        <v>473</v>
      </c>
      <c r="D45" s="39" t="s">
        <v>764</v>
      </c>
      <c r="E45" s="46" t="s">
        <v>799</v>
      </c>
    </row>
    <row r="46" spans="1:9" ht="32.450000000000003" customHeight="1">
      <c r="A46" s="39">
        <v>18</v>
      </c>
      <c r="B46" s="46"/>
      <c r="C46" s="40" t="s">
        <v>362</v>
      </c>
      <c r="D46" s="39" t="s">
        <v>780</v>
      </c>
      <c r="E46" s="46"/>
    </row>
    <row r="47" spans="1:9" ht="32.450000000000003" customHeight="1">
      <c r="A47" s="39">
        <v>18</v>
      </c>
      <c r="B47" s="46"/>
      <c r="C47" s="40" t="s">
        <v>734</v>
      </c>
      <c r="D47" s="46" t="s">
        <v>756</v>
      </c>
      <c r="E47" s="46"/>
    </row>
    <row r="48" spans="1:9" ht="32.450000000000003" customHeight="1">
      <c r="A48" s="39">
        <v>18</v>
      </c>
      <c r="B48" s="46"/>
      <c r="C48" s="40" t="s">
        <v>735</v>
      </c>
      <c r="D48" s="46"/>
      <c r="E48" s="46"/>
    </row>
    <row r="49" spans="1:5" ht="32.450000000000003" customHeight="1">
      <c r="A49" s="39">
        <v>18</v>
      </c>
      <c r="B49" s="46"/>
      <c r="C49" s="40" t="s">
        <v>736</v>
      </c>
      <c r="D49" s="39" t="s">
        <v>800</v>
      </c>
      <c r="E49" s="46"/>
    </row>
    <row r="50" spans="1:5" ht="15" hidden="1" customHeight="1">
      <c r="A50" s="39">
        <v>19</v>
      </c>
      <c r="B50" s="46" t="s">
        <v>801</v>
      </c>
      <c r="C50" s="40" t="s">
        <v>681</v>
      </c>
      <c r="D50" s="39" t="s">
        <v>784</v>
      </c>
      <c r="E50" s="46" t="s">
        <v>802</v>
      </c>
    </row>
    <row r="51" spans="1:5" ht="15" hidden="1" customHeight="1">
      <c r="A51" s="39">
        <v>19</v>
      </c>
      <c r="B51" s="46"/>
      <c r="C51" s="40" t="s">
        <v>689</v>
      </c>
      <c r="D51" s="46" t="s">
        <v>756</v>
      </c>
      <c r="E51" s="46"/>
    </row>
    <row r="52" spans="1:5" hidden="1">
      <c r="A52" s="39">
        <v>19</v>
      </c>
      <c r="B52" s="46"/>
      <c r="C52" s="40" t="s">
        <v>695</v>
      </c>
      <c r="D52" s="46"/>
      <c r="E52" s="46"/>
    </row>
    <row r="53" spans="1:5" ht="45" hidden="1">
      <c r="A53" s="39">
        <v>19</v>
      </c>
      <c r="B53" s="46"/>
      <c r="C53" s="40" t="s">
        <v>803</v>
      </c>
      <c r="D53" s="46"/>
      <c r="E53" s="46"/>
    </row>
  </sheetData>
  <autoFilter ref="A2:I53">
    <filterColumn colId="0">
      <filters>
        <filter val="18"/>
      </filters>
    </filterColumn>
  </autoFilter>
  <mergeCells count="34">
    <mergeCell ref="B3:B6"/>
    <mergeCell ref="D3:D6"/>
    <mergeCell ref="E3:E6"/>
    <mergeCell ref="B7:B8"/>
    <mergeCell ref="D7:D8"/>
    <mergeCell ref="E7:E8"/>
    <mergeCell ref="B9:B10"/>
    <mergeCell ref="D9:D10"/>
    <mergeCell ref="E9:E10"/>
    <mergeCell ref="B11:B12"/>
    <mergeCell ref="D11:D12"/>
    <mergeCell ref="E11:E12"/>
    <mergeCell ref="B13:B16"/>
    <mergeCell ref="D13:D15"/>
    <mergeCell ref="E13:E16"/>
    <mergeCell ref="B17:B20"/>
    <mergeCell ref="D17:D19"/>
    <mergeCell ref="E17:E20"/>
    <mergeCell ref="B21:B29"/>
    <mergeCell ref="D21:D27"/>
    <mergeCell ref="E21:E29"/>
    <mergeCell ref="B30:B35"/>
    <mergeCell ref="D30:D31"/>
    <mergeCell ref="E30:E35"/>
    <mergeCell ref="D33:D35"/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KladResume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adm29</dc:creator>
  <dc:description/>
  <cp:lastModifiedBy>adm29</cp:lastModifiedBy>
  <cp:revision>16</cp:revision>
  <dcterms:created xsi:type="dcterms:W3CDTF">2022-01-19T05:12:40Z</dcterms:created>
  <dcterms:modified xsi:type="dcterms:W3CDTF">2022-01-19T05:12:40Z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