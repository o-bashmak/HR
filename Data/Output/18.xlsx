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PA\SearchTheNet\Data\Output\"/>
    </mc:Choice>
  </mc:AlternateContent>
  <bookViews>
    <workbookView xWindow="0" yWindow="0" windowWidth="16380" windowHeight="8196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9" l="1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D12" i="9" s="1"/>
  <c r="F28" i="9"/>
  <c r="F27" i="9"/>
  <c r="F26" i="9"/>
  <c r="F25" i="9"/>
  <c r="F24" i="9"/>
  <c r="F23" i="9"/>
  <c r="D16" i="9" s="1"/>
  <c r="C18" i="9"/>
  <c r="C17" i="9"/>
  <c r="C16" i="9"/>
  <c r="C15" i="9"/>
  <c r="C14" i="9"/>
  <c r="C13" i="9"/>
  <c r="C12" i="9"/>
  <c r="D17" i="9" l="1"/>
  <c r="D13" i="9"/>
  <c r="D18" i="9"/>
  <c r="D14" i="9"/>
  <c r="D15" i="9"/>
</calcChain>
</file>

<file path=xl/sharedStrings.xml><?xml version="1.0" encoding="utf-8"?>
<sst xmlns="http://schemas.openxmlformats.org/spreadsheetml/2006/main" count="1129" uniqueCount="805">
  <si>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</si>
  <si>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</si>
  <si>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</si>
  <si>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</si>
  <si>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</si>
  <si>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</si>
  <si>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</si>
  <si>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</si>
  <si>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</si>
  <si>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</si>
  <si>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</si>
  <si>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</si>
  <si>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</si>
  <si>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</si>
  <si>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</si>
  <si>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</si>
  <si>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</si>
  <si>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</si>
  <si>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</si>
  <si>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</si>
  <si>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</si>
  <si>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</si>
  <si>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</si>
  <si>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</si>
  <si>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</si>
  <si>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</si>
  <si>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</si>
  <si>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</si>
  <si>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</si>
  <si>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</si>
  <si>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</si>
  <si>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</si>
  <si>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</si>
  <si>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</si>
  <si>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</si>
  <si>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</si>
  <si>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</si>
  <si>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</si>
  <si>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</si>
  <si>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</si>
  <si>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</si>
  <si>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</si>
  <si>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</si>
  <si>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</si>
  <si>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</si>
  <si>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</si>
  <si>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</si>
  <si>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</si>
  <si>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</si>
  <si>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</si>
  <si>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</si>
  <si>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</si>
  <si>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</si>
  <si>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</si>
  <si>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</si>
  <si>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</si>
  <si>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</si>
  <si>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</si>
  <si>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</si>
  <si>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</si>
  <si>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</si>
  <si>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</si>
  <si>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</si>
  <si>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</si>
  <si>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</si>
  <si>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</si>
  <si>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</si>
  <si>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</si>
  <si>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</si>
  <si>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</si>
  <si>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</si>
  <si>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</si>
  <si>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</si>
  <si>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</si>
  <si>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</si>
  <si>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</si>
  <si>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</si>
  <si>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</si>
  <si>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</si>
  <si>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</si>
  <si>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</si>
  <si>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</si>
  <si>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</si>
  <si>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</si>
  <si>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</si>
  <si>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</si>
  <si>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</si>
  <si>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</si>
  <si>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</si>
  <si>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</si>
  <si>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</si>
  <si>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</si>
  <si>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</si>
  <si>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</si>
  <si>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</si>
  <si>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</si>
  <si>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</si>
  <si>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</si>
  <si>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</si>
  <si>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</si>
  <si>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</si>
  <si>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</si>
  <si>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</si>
  <si>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</si>
  <si>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</si>
  <si>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</si>
  <si>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</si>
  <si>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</si>
  <si>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</si>
  <si>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</si>
  <si>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</si>
  <si>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</si>
  <si>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</si>
  <si>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</si>
  <si>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</si>
  <si>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</si>
  <si>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</si>
  <si>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</si>
  <si>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</si>
  <si>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</si>
  <si>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</si>
  <si>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</si>
  <si>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</si>
  <si>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</si>
  <si>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</si>
  <si>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</si>
  <si>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</si>
  <si>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</si>
  <si>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</si>
  <si>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</si>
  <si>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</si>
  <si>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</si>
  <si>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</si>
  <si>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</si>
  <si>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</si>
  <si>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</si>
  <si>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</si>
  <si>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</si>
  <si>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</si>
  <si>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</si>
  <si>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</si>
  <si>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</si>
  <si>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</si>
  <si>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</si>
  <si>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</si>
  <si>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</si>
  <si>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</si>
  <si>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</si>
  <si>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</si>
  <si>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</si>
  <si>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</si>
  <si>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</si>
  <si>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</si>
  <si>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</si>
  <si>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</si>
  <si>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</si>
  <si>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</si>
  <si>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</si>
  <si>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</si>
  <si>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</si>
  <si>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</si>
  <si>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</si>
  <si>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</si>
  <si>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</si>
  <si>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</si>
  <si>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</si>
  <si>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</si>
  <si>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</si>
  <si>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</si>
  <si>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</si>
  <si>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</si>
  <si>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</si>
  <si>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</si>
  <si>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</si>
  <si>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</si>
  <si>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</si>
  <si>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</si>
  <si>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</si>
  <si>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</si>
  <si>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</si>
  <si>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</si>
  <si>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</si>
  <si>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</si>
  <si>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</si>
  <si>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</si>
  <si>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</si>
  <si>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</si>
  <si>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</si>
  <si>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</si>
  <si>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</si>
  <si>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</si>
  <si>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</si>
  <si>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</si>
  <si>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</si>
  <si>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</si>
  <si>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</si>
  <si>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</si>
  <si>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</si>
  <si>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</si>
  <si>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</si>
  <si>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</si>
  <si>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</si>
  <si>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</si>
  <si>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</si>
  <si>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</si>
  <si>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</si>
  <si>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</si>
  <si>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</si>
  <si>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</si>
  <si>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</si>
  <si>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</si>
  <si>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</si>
  <si>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</si>
  <si>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</si>
  <si>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</si>
  <si>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</si>
  <si>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</si>
  <si>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</si>
  <si>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</si>
  <si>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</si>
  <si>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</si>
  <si>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</si>
  <si>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</si>
  <si>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</si>
  <si>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</si>
  <si>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</si>
  <si>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</si>
  <si>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</si>
  <si>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</si>
  <si>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</si>
  <si>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</si>
  <si>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</si>
  <si>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</si>
  <si>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</si>
  <si>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</si>
  <si>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</si>
  <si>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</si>
  <si>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</si>
  <si>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</si>
  <si>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</si>
  <si>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</si>
  <si>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</si>
  <si>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</si>
  <si>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</si>
  <si>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</si>
  <si>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</si>
  <si>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</si>
  <si>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</si>
  <si>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</si>
  <si>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</si>
  <si>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</si>
  <si>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</si>
  <si>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</si>
  <si>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</si>
  <si>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</si>
  <si>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</si>
  <si>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</si>
  <si>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</si>
  <si>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</si>
  <si>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</si>
  <si>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</si>
  <si>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</si>
  <si>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</si>
  <si>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</si>
  <si>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</si>
  <si>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</si>
  <si>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</si>
  <si>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</si>
  <si>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</si>
  <si>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</si>
  <si>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</si>
  <si>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</si>
  <si>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</si>
  <si>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</si>
  <si>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</si>
  <si>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</si>
  <si>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</si>
  <si>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</si>
  <si>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</si>
  <si>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</si>
  <si>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</si>
  <si>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</si>
  <si>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</si>
  <si>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</si>
  <si>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</si>
  <si>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</si>
  <si>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</si>
  <si>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</si>
  <si>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</si>
  <si>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</si>
  <si>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</si>
  <si>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</si>
  <si>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</si>
  <si>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</si>
  <si>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</si>
  <si>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</si>
  <si>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</si>
  <si>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</si>
  <si>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</si>
  <si>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</si>
  <si>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</si>
  <si>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</si>
  <si>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</si>
  <si>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</si>
  <si>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</si>
  <si>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</si>
  <si>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</si>
  <si>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</si>
  <si>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</si>
  <si>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</si>
  <si>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</si>
  <si>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</si>
  <si>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</si>
  <si>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</si>
  <si>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</si>
  <si>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</si>
  <si>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</si>
  <si>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</si>
  <si>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</si>
  <si>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</si>
  <si>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</si>
  <si>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</si>
  <si>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</si>
  <si>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</si>
  <si>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</si>
  <si>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</si>
  <si>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</si>
  <si>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</si>
  <si>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</si>
  <si>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</si>
  <si>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</si>
  <si>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</si>
  <si>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</si>
  <si>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</si>
  <si>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</si>
  <si>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</si>
  <si>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</si>
  <si>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</si>
  <si>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</si>
  <si>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</si>
  <si>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</si>
  <si>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</si>
  <si>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</si>
  <si>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</si>
  <si>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</si>
  <si>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</si>
  <si>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</si>
  <si>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</si>
  <si>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</si>
  <si>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</si>
  <si>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</si>
  <si>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</si>
  <si>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</si>
  <si>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</si>
  <si>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</si>
  <si>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</si>
  <si>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</si>
  <si>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</si>
  <si>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</si>
  <si>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</si>
  <si>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</si>
  <si>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</si>
  <si>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</si>
  <si>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</si>
  <si>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</si>
  <si>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</si>
  <si>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</si>
  <si>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</si>
  <si>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</si>
  <si>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</si>
  <si>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</si>
  <si>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</si>
  <si>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</si>
  <si>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</si>
  <si>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</si>
  <si>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</si>
  <si>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</si>
  <si>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</si>
  <si>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</si>
  <si>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</si>
  <si>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</si>
  <si>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</si>
  <si>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</si>
  <si>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</si>
  <si>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</si>
  <si>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</si>
  <si>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</si>
  <si>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</si>
  <si>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</si>
  <si>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</si>
  <si>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</si>
  <si>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</si>
  <si>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</si>
  <si>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</si>
  <si>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</si>
  <si>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</si>
  <si>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</si>
  <si>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</si>
  <si>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</si>
  <si>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</si>
  <si>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</si>
  <si>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</si>
  <si>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</si>
  <si>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</si>
  <si>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</si>
  <si>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</si>
  <si>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</si>
  <si>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</si>
  <si>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</si>
  <si>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</si>
  <si>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</si>
  <si>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</si>
  <si>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</si>
  <si>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</si>
  <si>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</si>
  <si>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</si>
  <si>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</si>
  <si>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</si>
  <si>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</si>
  <si>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</si>
  <si>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</si>
  <si>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</si>
  <si>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</si>
  <si>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</si>
  <si>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</si>
  <si>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</si>
  <si>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</si>
  <si>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</si>
  <si>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</si>
  <si>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</si>
  <si>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</si>
  <si>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</si>
  <si>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</si>
  <si>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</si>
  <si>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</si>
  <si>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</si>
  <si>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</si>
  <si>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</si>
  <si>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</si>
  <si>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</si>
  <si>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</si>
  <si>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</si>
  <si>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</si>
  <si>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</si>
  <si>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</si>
  <si>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</si>
  <si>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</si>
  <si>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</si>
  <si>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</si>
  <si>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</si>
  <si>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</si>
  <si>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</si>
  <si>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</si>
  <si>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</si>
  <si>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</si>
  <si>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</si>
  <si>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</si>
  <si>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</si>
  <si>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</si>
  <si>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</si>
  <si>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</si>
  <si>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</si>
  <si>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</si>
  <si>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</si>
  <si>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</si>
  <si>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</si>
  <si>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</si>
  <si>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</si>
  <si>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</si>
  <si>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</si>
  <si>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</si>
  <si>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</si>
  <si>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</si>
  <si>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</si>
  <si>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</si>
  <si>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</si>
  <si>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</si>
  <si>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</si>
  <si>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</si>
  <si>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</si>
  <si>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</si>
  <si>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</si>
  <si>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</si>
  <si>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</si>
  <si>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</si>
  <si>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</si>
  <si>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</si>
  <si>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</si>
  <si>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</si>
  <si>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</si>
  <si>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</si>
  <si>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</si>
  <si>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</si>
  <si>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</si>
  <si>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</si>
  <si>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</si>
  <si>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</si>
  <si>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</si>
  <si>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</si>
  <si>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</si>
  <si>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</si>
  <si>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</si>
  <si>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</si>
  <si>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</si>
  <si>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</si>
  <si>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</si>
  <si>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</si>
  <si>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</si>
  <si>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</si>
  <si>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</si>
  <si>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</si>
  <si>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</si>
  <si>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</si>
  <si>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</si>
  <si>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</si>
  <si>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</si>
  <si>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</si>
  <si>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</si>
  <si>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</si>
  <si>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</si>
  <si>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</si>
  <si>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</si>
  <si>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</si>
  <si>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</si>
  <si>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</si>
  <si>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</si>
  <si>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</si>
  <si>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</si>
  <si>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</si>
  <si>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</si>
  <si>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</si>
  <si>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</si>
  <si>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</si>
  <si>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</si>
  <si>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</si>
  <si>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</si>
  <si>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</si>
  <si>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</si>
  <si>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</si>
  <si>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</si>
  <si>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</si>
  <si>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</si>
  <si>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</si>
  <si>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</si>
  <si>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</si>
  <si>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</si>
  <si>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</si>
  <si>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</si>
  <si>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</si>
  <si>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</si>
  <si>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</si>
  <si>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</si>
  <si>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</si>
  <si>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</si>
  <si>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</si>
  <si>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</si>
  <si>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</si>
  <si>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</si>
  <si>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</si>
  <si>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</si>
  <si>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</si>
  <si>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</si>
  <si>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</si>
  <si>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</si>
  <si>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</si>
  <si>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</si>
  <si>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</si>
  <si>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</si>
  <si>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</si>
  <si>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</si>
  <si>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</si>
  <si>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</si>
  <si>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</si>
  <si>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</si>
  <si>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</si>
  <si>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</si>
  <si>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</si>
  <si>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</si>
  <si>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</si>
  <si>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</si>
  <si>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</si>
  <si>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</si>
  <si>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</si>
  <si>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</si>
  <si>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</si>
  <si>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</si>
  <si>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</si>
  <si>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</si>
  <si>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</si>
  <si>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</si>
  <si>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</si>
  <si>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</si>
  <si>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</si>
  <si>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</si>
  <si>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</si>
  <si>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</si>
  <si>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</si>
  <si>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</si>
  <si>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</si>
  <si>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</si>
  <si>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</si>
  <si>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</si>
  <si>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</si>
  <si>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</si>
  <si>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</si>
  <si>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</si>
  <si>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</si>
  <si>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</si>
  <si>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</si>
  <si>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</si>
  <si>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</si>
  <si>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</si>
  <si>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</si>
  <si>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</si>
  <si>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</si>
  <si>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</si>
  <si>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</si>
  <si>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</si>
  <si>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</si>
  <si>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</si>
  <si>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</si>
  <si>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</si>
  <si>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</si>
  <si>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</si>
  <si>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</si>
  <si>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</si>
  <si>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</si>
  <si>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</si>
  <si>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</si>
  <si>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</si>
  <si>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</si>
  <si>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</si>
  <si>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</si>
  <si>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</si>
  <si>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</si>
  <si>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</si>
  <si>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</si>
  <si>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</si>
  <si>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</si>
  <si>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</si>
  <si>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</si>
  <si>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</si>
  <si>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</si>
  <si>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</si>
  <si>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</si>
  <si>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</si>
  <si>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</si>
  <si>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</si>
  <si>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</si>
  <si>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</si>
  <si>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</si>
  <si>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</si>
  <si>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</si>
  <si>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</si>
  <si>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</si>
  <si>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</si>
  <si>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</si>
  <si>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</si>
  <si>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</si>
  <si>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</si>
  <si>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</si>
  <si>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</si>
  <si>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</si>
  <si>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</si>
  <si>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</si>
  <si>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</si>
  <si>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</si>
  <si>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</si>
  <si>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</si>
  <si>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</si>
  <si>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</si>
  <si>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</si>
  <si>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</si>
  <si>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</si>
  <si>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</si>
  <si>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</si>
  <si>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</si>
  <si>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</si>
  <si>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</si>
  <si>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</si>
  <si>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</si>
  <si>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</si>
  <si>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</si>
  <si>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</si>
  <si>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</si>
  <si>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</si>
  <si>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</si>
  <si>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</si>
  <si>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</si>
  <si>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</si>
  <si>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</si>
  <si>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</si>
  <si>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</si>
  <si>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</si>
  <si>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</si>
  <si>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</si>
  <si>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</si>
  <si>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</si>
  <si>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</si>
  <si>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</si>
  <si>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</si>
  <si>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</si>
  <si>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</si>
  <si>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</si>
  <si>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</si>
  <si>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</si>
  <si>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</si>
  <si>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</si>
  <si>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</si>
  <si>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</si>
  <si>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</si>
  <si>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</si>
  <si>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</si>
  <si>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</si>
  <si>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</si>
  <si>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</si>
  <si>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</si>
  <si>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</si>
  <si>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</si>
  <si>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</si>
  <si>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</si>
  <si>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</si>
  <si>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</si>
  <si>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</si>
  <si>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</si>
  <si>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</si>
  <si>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</si>
  <si>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</si>
  <si>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</si>
  <si>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</si>
  <si>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</si>
  <si>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</si>
  <si>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</si>
  <si>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</si>
  <si>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</si>
  <si>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</si>
  <si>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</si>
  <si>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</si>
  <si>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</si>
  <si>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</si>
  <si>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</si>
  <si>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</si>
  <si>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</si>
  <si>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</si>
  <si>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</si>
  <si>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</si>
  <si>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</si>
  <si>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</si>
  <si>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</si>
  <si>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</si>
  <si>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</si>
  <si>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</si>
  <si>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</si>
  <si>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</si>
  <si>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</si>
  <si>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</si>
  <si>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</si>
  <si>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</si>
  <si>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</si>
  <si>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</si>
  <si>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</si>
  <si>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</si>
  <si>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</si>
  <si>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</si>
  <si>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</si>
  <si>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</si>
  <si>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</si>
  <si>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</si>
  <si>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</si>
  <si>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</si>
  <si>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</si>
  <si>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</si>
  <si>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</si>
  <si>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</si>
  <si>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</si>
  <si>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</si>
  <si>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</si>
  <si>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</si>
  <si>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</si>
  <si>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</si>
  <si>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</si>
  <si>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</si>
  <si>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</si>
  <si>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</si>
  <si>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</si>
  <si>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</si>
  <si>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</si>
  <si>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</si>
  <si>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</si>
  <si>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</si>
  <si>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</si>
  <si>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</si>
  <si>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</si>
  <si>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</si>
  <si>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</si>
  <si>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</si>
  <si>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</si>
  <si>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</si>
  <si>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</si>
  <si>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</si>
  <si>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</si>
  <si>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</si>
  <si>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</si>
  <si>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</si>
  <si>
    <t>начальник отдела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</si>
</sst>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4" xfId="0" applyFont="1" applyBorder="1" applyAlignment="1">
      <alignment horizontal="left" vertical="center" wrapText="1"/>
    </xf>
    <xf numFmtId="0" fontId="0" fillId="0" borderId="14" xfId="0" applyFont="1" applyBorder="1" applyAlignment="1">
      <alignment horizontal="left" wrapText="1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546875" defaultRowHeight="14.4" x14ac:dyDescent="0.3"/>
  <cols>
    <col min="1" max="1" width="29.109375" customWidth="1"/>
    <col min="2" max="2" width="58.33203125" customWidth="1"/>
  </cols>
  <sheetData>
    <row r="1" spans="1:19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</row>
    <row r="2" spans="1:19" x14ac:dyDescent="0.3">
      <c r="A2" s="4" t="s">
        <v>19</v>
      </c>
      <c r="B2" s="4" t="s">
        <v>20</v>
      </c>
      <c r="C2" s="4">
        <v>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>
        <v>1</v>
      </c>
    </row>
    <row r="3" spans="1:19" x14ac:dyDescent="0.3">
      <c r="A3" s="7"/>
      <c r="B3" s="8" t="s">
        <v>21</v>
      </c>
      <c r="C3" s="9">
        <v>1</v>
      </c>
      <c r="D3" s="10">
        <v>1</v>
      </c>
      <c r="E3" s="10">
        <v>0.5</v>
      </c>
      <c r="F3" s="10">
        <v>1</v>
      </c>
      <c r="G3" s="10">
        <v>1</v>
      </c>
      <c r="H3" s="10">
        <v>1</v>
      </c>
      <c r="I3" s="10"/>
      <c r="J3" s="10"/>
      <c r="K3" s="10"/>
      <c r="L3" s="10"/>
      <c r="M3" s="10"/>
      <c r="N3" s="10">
        <v>1</v>
      </c>
      <c r="O3" s="10">
        <v>1</v>
      </c>
      <c r="P3" s="10">
        <v>1</v>
      </c>
      <c r="Q3" s="10">
        <v>1</v>
      </c>
      <c r="R3" s="10">
        <v>1</v>
      </c>
      <c r="S3" s="11">
        <v>10.5</v>
      </c>
    </row>
    <row r="4" spans="1:19" x14ac:dyDescent="0.3">
      <c r="A4" s="7"/>
      <c r="B4" s="9" t="s">
        <v>22</v>
      </c>
      <c r="C4" s="9">
        <v>1</v>
      </c>
      <c r="D4" s="10"/>
      <c r="E4" s="10"/>
      <c r="F4" s="10">
        <v>1</v>
      </c>
      <c r="G4" s="10"/>
      <c r="H4" s="10">
        <v>2</v>
      </c>
      <c r="I4" s="10"/>
      <c r="J4" s="10">
        <v>1</v>
      </c>
      <c r="K4" s="10"/>
      <c r="L4" s="10"/>
      <c r="M4" s="10"/>
      <c r="N4" s="10"/>
      <c r="O4" s="10"/>
      <c r="P4" s="10">
        <v>1</v>
      </c>
      <c r="Q4" s="10"/>
      <c r="R4" s="10">
        <v>1</v>
      </c>
      <c r="S4" s="11">
        <v>7</v>
      </c>
    </row>
    <row r="5" spans="1:19" x14ac:dyDescent="0.3">
      <c r="A5" s="7"/>
      <c r="B5" s="9" t="s">
        <v>23</v>
      </c>
      <c r="C5" s="9">
        <v>1</v>
      </c>
      <c r="D5" s="10"/>
      <c r="E5" s="10">
        <v>0.5</v>
      </c>
      <c r="F5" s="10">
        <v>1</v>
      </c>
      <c r="G5" s="10">
        <v>1</v>
      </c>
      <c r="H5" s="10">
        <v>1</v>
      </c>
      <c r="I5" s="10">
        <v>1</v>
      </c>
      <c r="J5" s="10"/>
      <c r="K5" s="10">
        <v>1</v>
      </c>
      <c r="L5" s="10"/>
      <c r="M5" s="10"/>
      <c r="N5" s="10">
        <v>1</v>
      </c>
      <c r="O5" s="10"/>
      <c r="P5" s="10">
        <v>1</v>
      </c>
      <c r="Q5" s="10"/>
      <c r="R5" s="10"/>
      <c r="S5" s="11">
        <v>8.5</v>
      </c>
    </row>
    <row r="6" spans="1:19" x14ac:dyDescent="0.3">
      <c r="A6" s="7"/>
      <c r="B6" s="9" t="s">
        <v>24</v>
      </c>
      <c r="C6" s="9"/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1">
        <v>1</v>
      </c>
    </row>
    <row r="7" spans="1:19" x14ac:dyDescent="0.3">
      <c r="A7" s="7"/>
      <c r="B7" s="9" t="s">
        <v>25</v>
      </c>
      <c r="C7" s="9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1">
        <v>2</v>
      </c>
    </row>
    <row r="8" spans="1:19" x14ac:dyDescent="0.3">
      <c r="A8" s="7"/>
      <c r="B8" s="8" t="s">
        <v>26</v>
      </c>
      <c r="C8" s="9"/>
      <c r="D8" s="10"/>
      <c r="E8" s="10">
        <v>0.75</v>
      </c>
      <c r="F8" s="10">
        <v>1</v>
      </c>
      <c r="G8" s="10"/>
      <c r="H8" s="10"/>
      <c r="I8" s="10"/>
      <c r="J8" s="10"/>
      <c r="K8" s="10"/>
      <c r="L8" s="10"/>
      <c r="M8" s="10"/>
      <c r="N8" s="10">
        <v>0.25</v>
      </c>
      <c r="O8" s="10"/>
      <c r="P8" s="10"/>
      <c r="Q8" s="10"/>
      <c r="R8" s="10">
        <v>1</v>
      </c>
      <c r="S8" s="11">
        <v>3</v>
      </c>
    </row>
    <row r="9" spans="1:19" x14ac:dyDescent="0.3">
      <c r="A9" s="7"/>
      <c r="B9" s="9" t="s">
        <v>27</v>
      </c>
      <c r="C9" s="9">
        <v>1</v>
      </c>
      <c r="D9" s="10"/>
      <c r="E9" s="10"/>
      <c r="F9" s="10">
        <v>1</v>
      </c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>
        <v>1</v>
      </c>
      <c r="S9" s="11">
        <v>4</v>
      </c>
    </row>
    <row r="10" spans="1:19" x14ac:dyDescent="0.3">
      <c r="A10" s="7"/>
      <c r="B10" s="8" t="s">
        <v>28</v>
      </c>
      <c r="C10" s="9">
        <v>1</v>
      </c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0"/>
      <c r="S10" s="11">
        <v>3</v>
      </c>
    </row>
    <row r="11" spans="1:19" x14ac:dyDescent="0.3">
      <c r="A11" s="7"/>
      <c r="B11" s="9" t="s">
        <v>29</v>
      </c>
      <c r="C11" s="9">
        <v>1</v>
      </c>
      <c r="D11" s="10">
        <v>1</v>
      </c>
      <c r="E11" s="10">
        <v>0.25</v>
      </c>
      <c r="F11" s="10">
        <v>1</v>
      </c>
      <c r="G11" s="10">
        <v>1</v>
      </c>
      <c r="H11" s="10"/>
      <c r="I11" s="10"/>
      <c r="J11" s="10"/>
      <c r="K11" s="10">
        <v>1</v>
      </c>
      <c r="L11" s="10"/>
      <c r="M11" s="10"/>
      <c r="N11" s="10">
        <v>0.75</v>
      </c>
      <c r="O11" s="10"/>
      <c r="P11" s="10">
        <v>1</v>
      </c>
      <c r="Q11" s="10"/>
      <c r="R11" s="10">
        <v>1</v>
      </c>
      <c r="S11" s="11">
        <v>8</v>
      </c>
    </row>
    <row r="12" spans="1:19" x14ac:dyDescent="0.3">
      <c r="A12" s="7"/>
      <c r="B12" s="8" t="s">
        <v>30</v>
      </c>
      <c r="C12" s="9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1">
        <v>1</v>
      </c>
    </row>
    <row r="13" spans="1:19" x14ac:dyDescent="0.3">
      <c r="A13" s="7"/>
      <c r="B13" s="9" t="s">
        <v>31</v>
      </c>
      <c r="C13" s="9"/>
      <c r="D13" s="10"/>
      <c r="E13" s="10"/>
      <c r="F13" s="10"/>
      <c r="G13" s="10"/>
      <c r="H13" s="10"/>
      <c r="I13" s="10"/>
      <c r="J13" s="10"/>
      <c r="K13" s="10">
        <v>1</v>
      </c>
      <c r="L13" s="10"/>
      <c r="M13" s="10"/>
      <c r="N13" s="10"/>
      <c r="O13" s="10"/>
      <c r="P13" s="10"/>
      <c r="Q13" s="10"/>
      <c r="R13" s="10"/>
      <c r="S13" s="11">
        <v>1</v>
      </c>
    </row>
    <row r="14" spans="1:19" x14ac:dyDescent="0.3">
      <c r="A14" s="7"/>
      <c r="B14" s="9" t="s">
        <v>32</v>
      </c>
      <c r="C14" s="9"/>
      <c r="D14" s="10"/>
      <c r="E14" s="10"/>
      <c r="F14" s="10"/>
      <c r="G14" s="10"/>
      <c r="H14" s="10"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1">
        <v>1</v>
      </c>
    </row>
    <row r="15" spans="1:19" x14ac:dyDescent="0.3">
      <c r="A15" s="7"/>
      <c r="B15" s="8" t="s">
        <v>33</v>
      </c>
      <c r="C15" s="9">
        <v>1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>
        <v>1</v>
      </c>
    </row>
    <row r="16" spans="1:19" x14ac:dyDescent="0.3">
      <c r="A16" s="7"/>
      <c r="B16" s="9" t="s">
        <v>34</v>
      </c>
      <c r="C16" s="9">
        <v>1</v>
      </c>
      <c r="D16" s="10">
        <v>1</v>
      </c>
      <c r="E16" s="10"/>
      <c r="F16" s="10">
        <v>1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1">
        <v>3</v>
      </c>
    </row>
    <row r="17" spans="1:19" x14ac:dyDescent="0.3">
      <c r="A17" s="7"/>
      <c r="B17" s="9" t="s">
        <v>35</v>
      </c>
      <c r="C17" s="9"/>
      <c r="D17" s="10"/>
      <c r="E17" s="10"/>
      <c r="F17" s="10"/>
      <c r="G17" s="10"/>
      <c r="H17" s="10">
        <v>1</v>
      </c>
      <c r="I17" s="10"/>
      <c r="J17" s="10"/>
      <c r="K17" s="10"/>
      <c r="L17" s="10"/>
      <c r="M17" s="10"/>
      <c r="N17" s="10"/>
      <c r="O17" s="10"/>
      <c r="P17" s="10"/>
      <c r="Q17" s="10">
        <v>12.5</v>
      </c>
      <c r="R17" s="10"/>
      <c r="S17" s="11">
        <v>13.5</v>
      </c>
    </row>
    <row r="18" spans="1:19" x14ac:dyDescent="0.3">
      <c r="A18" s="7"/>
      <c r="B18" s="8" t="s">
        <v>36</v>
      </c>
      <c r="C18" s="9"/>
      <c r="D18" s="10">
        <v>1</v>
      </c>
      <c r="E18" s="10"/>
      <c r="F18" s="10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1">
        <v>2</v>
      </c>
    </row>
    <row r="19" spans="1:19" x14ac:dyDescent="0.3">
      <c r="A19" s="7"/>
      <c r="B19" s="9" t="s">
        <v>37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>
        <v>1</v>
      </c>
      <c r="P19" s="10"/>
      <c r="Q19" s="10"/>
      <c r="R19" s="10"/>
      <c r="S19" s="11">
        <v>1</v>
      </c>
    </row>
    <row r="20" spans="1:19" x14ac:dyDescent="0.3">
      <c r="A20" s="7"/>
      <c r="B20" s="9" t="s">
        <v>38</v>
      </c>
      <c r="C20" s="9"/>
      <c r="D20" s="10"/>
      <c r="E20" s="10"/>
      <c r="F20" s="10"/>
      <c r="G20" s="10">
        <v>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1">
        <v>1</v>
      </c>
    </row>
    <row r="21" spans="1:19" x14ac:dyDescent="0.3">
      <c r="A21" s="7"/>
      <c r="B21" s="4" t="s">
        <v>26</v>
      </c>
      <c r="C21" s="4"/>
      <c r="D21" s="5">
        <v>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6">
        <v>1</v>
      </c>
    </row>
    <row r="22" spans="1:19" x14ac:dyDescent="0.3">
      <c r="A22" s="12" t="s">
        <v>18</v>
      </c>
      <c r="B22" s="13"/>
      <c r="C22" s="12">
        <v>20</v>
      </c>
      <c r="D22" s="14">
        <v>8</v>
      </c>
      <c r="E22" s="14">
        <v>7</v>
      </c>
      <c r="F22" s="14">
        <v>9</v>
      </c>
      <c r="G22" s="14">
        <v>8.3000000000000007</v>
      </c>
      <c r="H22" s="14">
        <v>17</v>
      </c>
      <c r="I22" s="14">
        <v>2.5</v>
      </c>
      <c r="J22" s="14">
        <v>1</v>
      </c>
      <c r="K22" s="14">
        <v>4.75</v>
      </c>
      <c r="L22" s="14">
        <v>2.5</v>
      </c>
      <c r="M22" s="14">
        <v>2</v>
      </c>
      <c r="N22" s="14">
        <v>6.75</v>
      </c>
      <c r="O22" s="14">
        <v>5</v>
      </c>
      <c r="P22" s="14">
        <v>9</v>
      </c>
      <c r="Q22" s="14">
        <v>13.5</v>
      </c>
      <c r="R22" s="14">
        <v>6.5</v>
      </c>
      <c r="S22" s="15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4140625" defaultRowHeight="14.4" x14ac:dyDescent="0.3"/>
  <cols>
    <col min="1" max="1" width="25.6640625" style="10" customWidth="1"/>
    <col min="2" max="2" width="48.5546875" style="10" customWidth="1"/>
    <col min="3" max="22" width="8.5546875" style="10" customWidth="1"/>
    <col min="23" max="1024" width="14.44140625" style="10"/>
  </cols>
  <sheetData>
    <row r="1" spans="1:22" x14ac:dyDescent="0.3">
      <c r="A1" s="10" t="s">
        <v>39</v>
      </c>
      <c r="C1" s="10" t="s">
        <v>40</v>
      </c>
    </row>
    <row r="2" spans="1:22" x14ac:dyDescent="0.3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41</v>
      </c>
      <c r="P2" s="10" t="s">
        <v>14</v>
      </c>
      <c r="Q2" s="10" t="s">
        <v>42</v>
      </c>
      <c r="R2" s="10" t="s">
        <v>15</v>
      </c>
      <c r="S2" s="10" t="s">
        <v>16</v>
      </c>
      <c r="T2" s="10" t="s">
        <v>43</v>
      </c>
      <c r="U2" s="10" t="s">
        <v>17</v>
      </c>
      <c r="V2" s="10" t="s">
        <v>18</v>
      </c>
    </row>
    <row r="3" spans="1:22" x14ac:dyDescent="0.3">
      <c r="A3" s="10" t="s">
        <v>44</v>
      </c>
      <c r="B3" s="16" t="s">
        <v>45</v>
      </c>
      <c r="M3" s="10">
        <v>6</v>
      </c>
      <c r="V3" s="10">
        <v>6</v>
      </c>
    </row>
    <row r="4" spans="1:22" x14ac:dyDescent="0.3">
      <c r="B4" s="16" t="s">
        <v>46</v>
      </c>
      <c r="C4" s="10">
        <v>23</v>
      </c>
      <c r="D4" s="10">
        <v>15</v>
      </c>
      <c r="E4" s="10">
        <v>21</v>
      </c>
      <c r="F4" s="10">
        <v>15</v>
      </c>
      <c r="G4" s="10">
        <v>3</v>
      </c>
      <c r="H4" s="10">
        <v>42</v>
      </c>
      <c r="I4" s="10">
        <v>2</v>
      </c>
      <c r="J4" s="10">
        <v>1</v>
      </c>
      <c r="K4" s="10">
        <v>2</v>
      </c>
      <c r="L4" s="10">
        <v>18</v>
      </c>
      <c r="U4" s="10">
        <v>21</v>
      </c>
      <c r="V4" s="10">
        <v>163</v>
      </c>
    </row>
    <row r="5" spans="1:22" x14ac:dyDescent="0.3">
      <c r="B5" s="10" t="s">
        <v>47</v>
      </c>
      <c r="C5" s="10">
        <v>1</v>
      </c>
      <c r="V5" s="10">
        <v>1</v>
      </c>
    </row>
    <row r="6" spans="1:22" x14ac:dyDescent="0.3">
      <c r="B6" s="10" t="s">
        <v>32</v>
      </c>
      <c r="H6" s="10">
        <v>1</v>
      </c>
      <c r="V6" s="10">
        <v>1</v>
      </c>
    </row>
    <row r="7" spans="1:22" x14ac:dyDescent="0.3">
      <c r="B7" s="16" t="s">
        <v>48</v>
      </c>
      <c r="C7" s="10">
        <v>14</v>
      </c>
      <c r="D7" s="10">
        <v>1</v>
      </c>
      <c r="E7" s="10">
        <v>3.75</v>
      </c>
      <c r="F7" s="10">
        <v>2.5</v>
      </c>
      <c r="H7" s="10">
        <v>13</v>
      </c>
      <c r="K7" s="10">
        <v>1</v>
      </c>
      <c r="N7" s="10">
        <v>0.25</v>
      </c>
      <c r="S7" s="10">
        <v>15</v>
      </c>
      <c r="V7" s="10">
        <v>50.5</v>
      </c>
    </row>
    <row r="8" spans="1:22" x14ac:dyDescent="0.3">
      <c r="B8" s="10" t="s">
        <v>33</v>
      </c>
      <c r="E8" s="10">
        <v>1</v>
      </c>
      <c r="K8" s="10">
        <v>1</v>
      </c>
      <c r="V8" s="10">
        <v>2</v>
      </c>
    </row>
    <row r="9" spans="1:22" x14ac:dyDescent="0.3">
      <c r="B9" s="16" t="s">
        <v>49</v>
      </c>
      <c r="C9" s="10">
        <v>6</v>
      </c>
      <c r="F9" s="10">
        <v>1</v>
      </c>
      <c r="H9" s="10">
        <v>6</v>
      </c>
      <c r="S9" s="10">
        <v>5</v>
      </c>
      <c r="V9" s="10">
        <v>18</v>
      </c>
    </row>
    <row r="10" spans="1:22" x14ac:dyDescent="0.3">
      <c r="B10" s="10" t="s">
        <v>50</v>
      </c>
      <c r="C10" s="10">
        <v>1</v>
      </c>
      <c r="F10" s="10">
        <v>1</v>
      </c>
      <c r="H10" s="10">
        <v>1</v>
      </c>
      <c r="P10" s="10">
        <v>1</v>
      </c>
      <c r="V10" s="10">
        <v>4</v>
      </c>
    </row>
    <row r="11" spans="1:22" x14ac:dyDescent="0.3">
      <c r="B11" s="10" t="s">
        <v>34</v>
      </c>
      <c r="C11" s="10">
        <v>9</v>
      </c>
      <c r="D11" s="10">
        <v>1</v>
      </c>
      <c r="E11" s="10">
        <v>0.6</v>
      </c>
      <c r="H11" s="10">
        <v>6</v>
      </c>
      <c r="K11" s="10">
        <v>2</v>
      </c>
      <c r="L11" s="10">
        <v>1</v>
      </c>
      <c r="M11" s="10">
        <v>3</v>
      </c>
      <c r="N11" s="10">
        <v>3</v>
      </c>
      <c r="S11" s="10">
        <v>2</v>
      </c>
      <c r="V11" s="10">
        <v>27.6</v>
      </c>
    </row>
    <row r="12" spans="1:22" x14ac:dyDescent="0.3">
      <c r="B12" s="10" t="s">
        <v>51</v>
      </c>
      <c r="C12" s="10">
        <v>4</v>
      </c>
      <c r="H12" s="10">
        <v>4</v>
      </c>
      <c r="V12" s="10">
        <v>8</v>
      </c>
    </row>
    <row r="13" spans="1:22" x14ac:dyDescent="0.3">
      <c r="B13" s="10" t="s">
        <v>36</v>
      </c>
      <c r="C13" s="10">
        <v>9</v>
      </c>
      <c r="E13" s="10">
        <v>5.25</v>
      </c>
      <c r="F13" s="10">
        <v>1</v>
      </c>
      <c r="H13" s="10">
        <v>10.5</v>
      </c>
      <c r="I13" s="10">
        <v>1</v>
      </c>
      <c r="J13" s="10">
        <v>4</v>
      </c>
      <c r="K13" s="10">
        <v>2</v>
      </c>
      <c r="N13" s="10">
        <v>1</v>
      </c>
      <c r="R13" s="10">
        <v>1</v>
      </c>
      <c r="V13" s="10">
        <v>34.75</v>
      </c>
    </row>
    <row r="14" spans="1:22" x14ac:dyDescent="0.3">
      <c r="B14" s="10" t="s">
        <v>52</v>
      </c>
      <c r="C14" s="10">
        <v>7</v>
      </c>
      <c r="H14" s="10">
        <v>3</v>
      </c>
      <c r="V14" s="10">
        <v>10</v>
      </c>
    </row>
    <row r="15" spans="1:22" x14ac:dyDescent="0.3">
      <c r="B15" s="10" t="s">
        <v>53</v>
      </c>
      <c r="P15" s="10">
        <v>1</v>
      </c>
      <c r="V15" s="10">
        <v>1</v>
      </c>
    </row>
    <row r="16" spans="1:22" x14ac:dyDescent="0.3">
      <c r="B16" s="10" t="s">
        <v>54</v>
      </c>
      <c r="P16" s="10">
        <v>1</v>
      </c>
      <c r="V16" s="10">
        <v>1</v>
      </c>
    </row>
    <row r="17" spans="1:22" x14ac:dyDescent="0.3">
      <c r="B17" s="10" t="s">
        <v>55</v>
      </c>
      <c r="H17" s="10">
        <v>0.5</v>
      </c>
      <c r="V17" s="10">
        <v>0.5</v>
      </c>
    </row>
    <row r="18" spans="1:22" x14ac:dyDescent="0.3">
      <c r="B18" s="10" t="s">
        <v>56</v>
      </c>
      <c r="E18" s="10">
        <v>0.1</v>
      </c>
      <c r="V18" s="10">
        <v>0.1</v>
      </c>
    </row>
    <row r="19" spans="1:22" x14ac:dyDescent="0.3">
      <c r="B19" s="10" t="s">
        <v>57</v>
      </c>
      <c r="P19" s="10">
        <v>2</v>
      </c>
      <c r="V19" s="10">
        <v>2</v>
      </c>
    </row>
    <row r="20" spans="1:22" x14ac:dyDescent="0.3">
      <c r="B20" s="10" t="s">
        <v>58</v>
      </c>
      <c r="P20" s="10">
        <v>10</v>
      </c>
      <c r="V20" s="10">
        <v>10</v>
      </c>
    </row>
    <row r="21" spans="1:22" x14ac:dyDescent="0.3">
      <c r="A21" s="10" t="s">
        <v>18</v>
      </c>
      <c r="C21" s="10">
        <v>118.625</v>
      </c>
      <c r="D21" s="10">
        <v>21.2</v>
      </c>
      <c r="E21" s="10">
        <v>37.700000000000003</v>
      </c>
      <c r="F21" s="10">
        <v>30.6</v>
      </c>
      <c r="G21" s="10">
        <v>71</v>
      </c>
      <c r="H21" s="10">
        <v>148</v>
      </c>
      <c r="I21" s="10">
        <v>5</v>
      </c>
      <c r="J21" s="10">
        <v>10</v>
      </c>
      <c r="K21" s="10">
        <v>30</v>
      </c>
      <c r="L21" s="10">
        <v>21</v>
      </c>
      <c r="M21" s="10">
        <v>25</v>
      </c>
      <c r="N21" s="10">
        <v>10.75</v>
      </c>
      <c r="O21" s="10">
        <v>0.1</v>
      </c>
      <c r="P21" s="10">
        <v>27.5</v>
      </c>
      <c r="Q21" s="10">
        <v>1</v>
      </c>
      <c r="R21" s="10">
        <v>26</v>
      </c>
      <c r="S21" s="10">
        <v>26</v>
      </c>
      <c r="T21" s="10">
        <v>0.5</v>
      </c>
      <c r="U21" s="10">
        <v>41.725000000000001</v>
      </c>
      <c r="V21" s="10">
        <v>651.70000000000005</v>
      </c>
    </row>
    <row r="893" ht="15" customHeight="1" x14ac:dyDescent="0.3"/>
    <row r="894" ht="15" customHeight="1" x14ac:dyDescent="0.3"/>
    <row r="895" ht="15" customHeight="1" x14ac:dyDescent="0.3"/>
    <row r="896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06" ht="15" customHeight="1" x14ac:dyDescent="0.3"/>
    <row r="907" ht="15" customHeight="1" x14ac:dyDescent="0.3"/>
    <row r="908" ht="15" customHeight="1" x14ac:dyDescent="0.3"/>
    <row r="909" ht="15" customHeight="1" x14ac:dyDescent="0.3"/>
    <row r="910" ht="15" customHeight="1" x14ac:dyDescent="0.3"/>
    <row r="911" ht="15" customHeight="1" x14ac:dyDescent="0.3"/>
    <row r="912" ht="15" customHeight="1" x14ac:dyDescent="0.3"/>
    <row r="913" ht="15" customHeight="1" x14ac:dyDescent="0.3"/>
    <row r="914" ht="15" customHeight="1" x14ac:dyDescent="0.3"/>
    <row r="915" ht="15" customHeight="1" x14ac:dyDescent="0.3"/>
    <row r="916" ht="15" customHeight="1" x14ac:dyDescent="0.3"/>
    <row r="917" ht="15" customHeight="1" x14ac:dyDescent="0.3"/>
    <row r="918" ht="15" customHeight="1" x14ac:dyDescent="0.3"/>
    <row r="919" ht="15" customHeight="1" x14ac:dyDescent="0.3"/>
    <row r="920" ht="15" customHeight="1" x14ac:dyDescent="0.3"/>
    <row r="921" ht="15" customHeight="1" x14ac:dyDescent="0.3"/>
    <row r="922" ht="15" customHeight="1" x14ac:dyDescent="0.3"/>
    <row r="923" ht="15" customHeight="1" x14ac:dyDescent="0.3"/>
    <row r="924" ht="15" customHeight="1" x14ac:dyDescent="0.3"/>
    <row r="925" ht="15" customHeight="1" x14ac:dyDescent="0.3"/>
    <row r="926" ht="15" customHeight="1" x14ac:dyDescent="0.3"/>
    <row r="927" ht="15" customHeight="1" x14ac:dyDescent="0.3"/>
    <row r="928" ht="15" customHeight="1" x14ac:dyDescent="0.3"/>
    <row r="929" ht="15" customHeight="1" x14ac:dyDescent="0.3"/>
    <row r="930" ht="15" customHeight="1" x14ac:dyDescent="0.3"/>
    <row r="931" ht="15" customHeight="1" x14ac:dyDescent="0.3"/>
    <row r="932" ht="15" customHeight="1" x14ac:dyDescent="0.3"/>
    <row r="933" ht="15" customHeight="1" x14ac:dyDescent="0.3"/>
    <row r="934" ht="15" customHeight="1" x14ac:dyDescent="0.3"/>
    <row r="935" ht="15" customHeight="1" x14ac:dyDescent="0.3"/>
    <row r="936" ht="15" customHeight="1" x14ac:dyDescent="0.3"/>
    <row r="937" ht="15" customHeight="1" x14ac:dyDescent="0.3"/>
    <row r="938" ht="15" customHeight="1" x14ac:dyDescent="0.3"/>
    <row r="939" ht="15" customHeight="1" x14ac:dyDescent="0.3"/>
    <row r="940" ht="15" customHeight="1" x14ac:dyDescent="0.3"/>
    <row r="941" ht="15" customHeight="1" x14ac:dyDescent="0.3"/>
    <row r="942" ht="15" customHeight="1" x14ac:dyDescent="0.3"/>
    <row r="943" ht="15" customHeight="1" x14ac:dyDescent="0.3"/>
    <row r="944" ht="15" customHeight="1" x14ac:dyDescent="0.3"/>
    <row r="945" ht="15" customHeight="1" x14ac:dyDescent="0.3"/>
    <row r="946" ht="15" customHeight="1" x14ac:dyDescent="0.3"/>
    <row r="947" ht="15" customHeight="1" x14ac:dyDescent="0.3"/>
    <row r="948" ht="15" customHeight="1" x14ac:dyDescent="0.3"/>
    <row r="949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546875" defaultRowHeight="14.4" x14ac:dyDescent="0.3"/>
  <cols>
    <col min="1" max="1" width="27" customWidth="1"/>
    <col min="2" max="2" width="51.6640625" customWidth="1"/>
  </cols>
  <sheetData>
    <row r="1" spans="1:21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41</v>
      </c>
      <c r="P1" s="5" t="s">
        <v>14</v>
      </c>
      <c r="Q1" s="5" t="s">
        <v>42</v>
      </c>
      <c r="R1" s="5" t="s">
        <v>15</v>
      </c>
      <c r="S1" s="5" t="s">
        <v>16</v>
      </c>
      <c r="T1" s="5" t="s">
        <v>17</v>
      </c>
      <c r="U1" s="6" t="s">
        <v>18</v>
      </c>
    </row>
    <row r="2" spans="1:21" x14ac:dyDescent="0.3">
      <c r="A2" s="4" t="s">
        <v>59</v>
      </c>
      <c r="B2" s="4" t="s">
        <v>60</v>
      </c>
      <c r="C2" s="4"/>
      <c r="D2" s="5"/>
      <c r="E2" s="5"/>
      <c r="F2" s="5"/>
      <c r="G2" s="5"/>
      <c r="H2" s="5">
        <v>1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>
        <v>1</v>
      </c>
    </row>
    <row r="3" spans="1:21" x14ac:dyDescent="0.3">
      <c r="A3" s="7"/>
      <c r="B3" s="9" t="s">
        <v>61</v>
      </c>
      <c r="C3" s="9"/>
      <c r="D3" s="10"/>
      <c r="E3" s="10"/>
      <c r="F3" s="10"/>
      <c r="G3" s="10"/>
      <c r="H3" s="10">
        <v>1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>
        <v>1</v>
      </c>
    </row>
    <row r="4" spans="1:21" x14ac:dyDescent="0.3">
      <c r="A4" s="7"/>
      <c r="B4" s="9" t="s">
        <v>62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>
        <v>1</v>
      </c>
      <c r="U4" s="11">
        <v>1</v>
      </c>
    </row>
    <row r="5" spans="1:21" x14ac:dyDescent="0.3">
      <c r="A5" s="7"/>
      <c r="B5" s="9" t="s">
        <v>63</v>
      </c>
      <c r="C5" s="9">
        <v>3</v>
      </c>
      <c r="D5" s="10">
        <v>1</v>
      </c>
      <c r="E5" s="10">
        <v>1</v>
      </c>
      <c r="F5" s="10">
        <v>1</v>
      </c>
      <c r="G5" s="10">
        <v>1</v>
      </c>
      <c r="H5" s="10">
        <v>4</v>
      </c>
      <c r="I5" s="10"/>
      <c r="J5" s="10"/>
      <c r="K5" s="10"/>
      <c r="L5" s="10"/>
      <c r="M5" s="10"/>
      <c r="N5" s="10">
        <v>0.5</v>
      </c>
      <c r="O5" s="10"/>
      <c r="P5" s="10">
        <v>1</v>
      </c>
      <c r="Q5" s="10"/>
      <c r="R5" s="10">
        <v>2</v>
      </c>
      <c r="S5" s="10">
        <v>1</v>
      </c>
      <c r="T5" s="10">
        <v>1</v>
      </c>
      <c r="U5" s="11">
        <v>16.5</v>
      </c>
    </row>
    <row r="6" spans="1:21" x14ac:dyDescent="0.3">
      <c r="A6" s="7"/>
      <c r="B6" s="9" t="s">
        <v>64</v>
      </c>
      <c r="C6" s="9"/>
      <c r="D6" s="10"/>
      <c r="E6" s="10"/>
      <c r="F6" s="10">
        <v>1</v>
      </c>
      <c r="G6" s="10"/>
      <c r="H6" s="10"/>
      <c r="I6" s="10"/>
      <c r="J6" s="10"/>
      <c r="K6" s="10">
        <v>1</v>
      </c>
      <c r="L6" s="10"/>
      <c r="M6" s="10"/>
      <c r="N6" s="10"/>
      <c r="O6" s="10"/>
      <c r="P6" s="10"/>
      <c r="Q6" s="10"/>
      <c r="R6" s="10"/>
      <c r="S6" s="10"/>
      <c r="T6" s="10"/>
      <c r="U6" s="11">
        <v>2</v>
      </c>
    </row>
    <row r="7" spans="1:21" x14ac:dyDescent="0.3">
      <c r="A7" s="7"/>
      <c r="B7" s="9" t="s">
        <v>65</v>
      </c>
      <c r="C7" s="9"/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>
        <v>1</v>
      </c>
    </row>
    <row r="8" spans="1:21" x14ac:dyDescent="0.3">
      <c r="A8" s="7"/>
      <c r="B8" s="9" t="s">
        <v>66</v>
      </c>
      <c r="C8" s="9">
        <v>1</v>
      </c>
      <c r="D8" s="10"/>
      <c r="E8" s="10"/>
      <c r="F8" s="10">
        <v>0.5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>
        <v>1</v>
      </c>
      <c r="S8" s="10"/>
      <c r="T8" s="10"/>
      <c r="U8" s="11">
        <v>2.5</v>
      </c>
    </row>
    <row r="9" spans="1:21" x14ac:dyDescent="0.3">
      <c r="A9" s="7"/>
      <c r="B9" s="9" t="s">
        <v>67</v>
      </c>
      <c r="C9" s="9"/>
      <c r="D9" s="10"/>
      <c r="E9" s="10"/>
      <c r="F9" s="10"/>
      <c r="G9" s="10">
        <v>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1">
        <v>8</v>
      </c>
    </row>
    <row r="10" spans="1:21" x14ac:dyDescent="0.3">
      <c r="A10" s="7"/>
      <c r="B10" s="9" t="s">
        <v>68</v>
      </c>
      <c r="C10" s="9"/>
      <c r="D10" s="10"/>
      <c r="E10" s="10"/>
      <c r="F10" s="10"/>
      <c r="G10" s="10"/>
      <c r="H10" s="10">
        <v>1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1">
        <v>1</v>
      </c>
    </row>
    <row r="11" spans="1:21" x14ac:dyDescent="0.3">
      <c r="A11" s="7"/>
      <c r="B11" s="8" t="s">
        <v>69</v>
      </c>
      <c r="C11" s="9">
        <v>1</v>
      </c>
      <c r="D11" s="10"/>
      <c r="E11" s="10"/>
      <c r="F11" s="10">
        <v>2.5</v>
      </c>
      <c r="G11" s="10"/>
      <c r="H11" s="10">
        <v>6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>
        <v>7</v>
      </c>
      <c r="T11" s="10"/>
      <c r="U11" s="11">
        <v>16.5</v>
      </c>
    </row>
    <row r="12" spans="1:21" x14ac:dyDescent="0.3">
      <c r="A12" s="7"/>
      <c r="B12" s="9" t="s">
        <v>70</v>
      </c>
      <c r="C12" s="9">
        <v>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1">
        <v>4</v>
      </c>
    </row>
    <row r="13" spans="1:21" x14ac:dyDescent="0.3">
      <c r="A13" s="7"/>
      <c r="B13" s="9" t="s">
        <v>71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>
        <v>1</v>
      </c>
      <c r="T13" s="10"/>
      <c r="U13" s="11">
        <v>1</v>
      </c>
    </row>
    <row r="14" spans="1:21" x14ac:dyDescent="0.3">
      <c r="A14" s="7"/>
      <c r="B14" s="9" t="s">
        <v>72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>
        <v>8</v>
      </c>
      <c r="T14" s="10"/>
      <c r="U14" s="11">
        <v>8</v>
      </c>
    </row>
    <row r="15" spans="1:21" x14ac:dyDescent="0.3">
      <c r="A15" s="7"/>
      <c r="B15" s="9" t="s">
        <v>73</v>
      </c>
      <c r="C15" s="9"/>
      <c r="D15" s="10"/>
      <c r="E15" s="10"/>
      <c r="F15" s="10"/>
      <c r="G15" s="10">
        <v>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1">
        <v>7</v>
      </c>
    </row>
    <row r="16" spans="1:21" x14ac:dyDescent="0.3">
      <c r="A16" s="7"/>
      <c r="B16" s="9" t="s">
        <v>74</v>
      </c>
      <c r="C16" s="9"/>
      <c r="D16" s="10"/>
      <c r="E16" s="10"/>
      <c r="F16" s="10"/>
      <c r="G16" s="10"/>
      <c r="H16" s="10">
        <v>0.5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>
        <v>0.5</v>
      </c>
    </row>
    <row r="17" spans="1:21" x14ac:dyDescent="0.3">
      <c r="A17" s="7"/>
      <c r="B17" s="9" t="s">
        <v>75</v>
      </c>
      <c r="C17" s="9"/>
      <c r="D17" s="10"/>
      <c r="E17" s="10"/>
      <c r="F17" s="10"/>
      <c r="G17" s="10"/>
      <c r="H17" s="10"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1">
        <v>1</v>
      </c>
    </row>
    <row r="18" spans="1:21" x14ac:dyDescent="0.3">
      <c r="A18" s="7"/>
      <c r="B18" s="9" t="s">
        <v>76</v>
      </c>
      <c r="C18" s="9"/>
      <c r="D18" s="10"/>
      <c r="E18" s="10"/>
      <c r="F18" s="10"/>
      <c r="G18" s="10"/>
      <c r="H18" s="10"/>
      <c r="I18" s="10"/>
      <c r="J18" s="10"/>
      <c r="K18" s="10"/>
      <c r="L18" s="10">
        <v>1</v>
      </c>
      <c r="M18" s="10"/>
      <c r="N18" s="10"/>
      <c r="O18" s="10"/>
      <c r="P18" s="10"/>
      <c r="Q18" s="10"/>
      <c r="R18" s="10"/>
      <c r="S18" s="10">
        <v>1</v>
      </c>
      <c r="T18" s="10"/>
      <c r="U18" s="11">
        <v>2</v>
      </c>
    </row>
    <row r="19" spans="1:21" x14ac:dyDescent="0.3">
      <c r="A19" s="7"/>
      <c r="B19" s="9" t="s">
        <v>77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3</v>
      </c>
      <c r="T19" s="10"/>
      <c r="U19" s="11">
        <v>3</v>
      </c>
    </row>
    <row r="20" spans="1:21" x14ac:dyDescent="0.3">
      <c r="A20" s="7"/>
      <c r="B20" s="9" t="s">
        <v>78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>
        <v>3</v>
      </c>
      <c r="T20" s="10"/>
      <c r="U20" s="11">
        <v>3</v>
      </c>
    </row>
    <row r="21" spans="1:21" x14ac:dyDescent="0.3">
      <c r="A21" s="7"/>
      <c r="B21" s="9" t="s">
        <v>79</v>
      </c>
      <c r="C21" s="9"/>
      <c r="D21" s="10"/>
      <c r="E21" s="10"/>
      <c r="F21" s="10"/>
      <c r="G21" s="10">
        <v>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>
        <v>2</v>
      </c>
    </row>
    <row r="22" spans="1:21" x14ac:dyDescent="0.3">
      <c r="A22" s="7"/>
      <c r="B22" s="9" t="s">
        <v>80</v>
      </c>
      <c r="C22" s="9"/>
      <c r="D22" s="10"/>
      <c r="E22" s="10"/>
      <c r="F22" s="10"/>
      <c r="G22" s="10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>
        <v>1</v>
      </c>
    </row>
    <row r="23" spans="1:21" x14ac:dyDescent="0.3">
      <c r="A23" s="7"/>
      <c r="B23" s="9" t="s">
        <v>81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>
        <v>0.5</v>
      </c>
      <c r="U23" s="11">
        <v>0.5</v>
      </c>
    </row>
    <row r="24" spans="1:21" x14ac:dyDescent="0.3">
      <c r="A24" s="7"/>
      <c r="B24" s="9" t="s">
        <v>82</v>
      </c>
      <c r="C24" s="9"/>
      <c r="D24" s="10"/>
      <c r="E24" s="10"/>
      <c r="F24" s="10"/>
      <c r="G24" s="10"/>
      <c r="H24" s="10">
        <v>1</v>
      </c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>
        <v>1</v>
      </c>
    </row>
    <row r="25" spans="1:21" x14ac:dyDescent="0.3">
      <c r="A25" s="7"/>
      <c r="B25" s="8" t="s">
        <v>83</v>
      </c>
      <c r="C25" s="9"/>
      <c r="D25" s="10"/>
      <c r="E25" s="10"/>
      <c r="F25" s="10"/>
      <c r="G25" s="10">
        <v>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1">
        <v>3</v>
      </c>
    </row>
    <row r="26" spans="1:21" x14ac:dyDescent="0.3">
      <c r="A26" s="7"/>
      <c r="B26" s="9" t="s">
        <v>84</v>
      </c>
      <c r="C26" s="9"/>
      <c r="D26" s="10"/>
      <c r="E26" s="10"/>
      <c r="F26" s="10"/>
      <c r="G26" s="10">
        <v>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>
        <v>1</v>
      </c>
    </row>
    <row r="27" spans="1:21" x14ac:dyDescent="0.3">
      <c r="A27" s="7"/>
      <c r="B27" s="9" t="s">
        <v>85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>
        <v>1</v>
      </c>
      <c r="T27" s="10"/>
      <c r="U27" s="11">
        <v>1</v>
      </c>
    </row>
    <row r="28" spans="1:21" x14ac:dyDescent="0.3">
      <c r="A28" s="7"/>
      <c r="B28" s="9" t="s">
        <v>86</v>
      </c>
      <c r="C28" s="9"/>
      <c r="D28" s="10"/>
      <c r="E28" s="10"/>
      <c r="F28" s="10"/>
      <c r="G28" s="10">
        <v>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>
        <v>1</v>
      </c>
    </row>
    <row r="29" spans="1:21" x14ac:dyDescent="0.3">
      <c r="A29" s="7"/>
      <c r="B29" s="9" t="s">
        <v>87</v>
      </c>
      <c r="C29" s="9"/>
      <c r="D29" s="10"/>
      <c r="E29" s="10"/>
      <c r="F29" s="10"/>
      <c r="G29" s="10">
        <v>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1">
        <v>6</v>
      </c>
    </row>
    <row r="30" spans="1:21" x14ac:dyDescent="0.3">
      <c r="A30" s="7"/>
      <c r="B30" s="9" t="s">
        <v>88</v>
      </c>
      <c r="C30" s="9">
        <v>2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">
        <v>2</v>
      </c>
    </row>
    <row r="31" spans="1:21" x14ac:dyDescent="0.3">
      <c r="A31" s="7"/>
      <c r="B31" s="9" t="s">
        <v>89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>
        <v>1</v>
      </c>
      <c r="T31" s="10"/>
      <c r="U31" s="11">
        <v>1</v>
      </c>
    </row>
    <row r="32" spans="1:21" x14ac:dyDescent="0.3">
      <c r="A32" s="7"/>
      <c r="B32" s="9" t="s">
        <v>90</v>
      </c>
      <c r="C32" s="9"/>
      <c r="D32" s="10"/>
      <c r="E32" s="10"/>
      <c r="F32" s="10"/>
      <c r="G32" s="10">
        <v>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1">
        <v>3</v>
      </c>
    </row>
    <row r="33" spans="1:21" x14ac:dyDescent="0.3">
      <c r="A33" s="7"/>
      <c r="B33" s="9" t="s">
        <v>91</v>
      </c>
      <c r="C33" s="9">
        <v>19</v>
      </c>
      <c r="D33" s="10"/>
      <c r="E33" s="10"/>
      <c r="F33" s="10">
        <v>1</v>
      </c>
      <c r="G33" s="10"/>
      <c r="H33" s="10"/>
      <c r="I33" s="10"/>
      <c r="J33" s="10"/>
      <c r="K33" s="10"/>
      <c r="L33" s="10">
        <v>5</v>
      </c>
      <c r="M33" s="10"/>
      <c r="N33" s="10"/>
      <c r="O33" s="10"/>
      <c r="P33" s="10"/>
      <c r="Q33" s="10"/>
      <c r="R33" s="10"/>
      <c r="S33" s="10"/>
      <c r="T33" s="10"/>
      <c r="U33" s="11">
        <v>25</v>
      </c>
    </row>
    <row r="34" spans="1:21" x14ac:dyDescent="0.3">
      <c r="A34" s="7"/>
      <c r="B34" s="9" t="s">
        <v>92</v>
      </c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>
        <v>2</v>
      </c>
      <c r="T34" s="10"/>
      <c r="U34" s="11">
        <v>2</v>
      </c>
    </row>
    <row r="35" spans="1:21" x14ac:dyDescent="0.3">
      <c r="A35" s="7"/>
      <c r="B35" s="9" t="s">
        <v>93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>
        <v>1</v>
      </c>
      <c r="T35" s="10"/>
      <c r="U35" s="11">
        <v>1</v>
      </c>
    </row>
    <row r="36" spans="1:21" x14ac:dyDescent="0.3">
      <c r="A36" s="7"/>
      <c r="B36" s="9" t="s">
        <v>94</v>
      </c>
      <c r="C36" s="9"/>
      <c r="D36" s="10"/>
      <c r="E36" s="10"/>
      <c r="F36" s="10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>
        <v>1</v>
      </c>
      <c r="U36" s="11">
        <v>2</v>
      </c>
    </row>
    <row r="37" spans="1:21" x14ac:dyDescent="0.3">
      <c r="A37" s="7"/>
      <c r="B37" s="9" t="s">
        <v>95</v>
      </c>
      <c r="C37" s="9"/>
      <c r="D37" s="10"/>
      <c r="E37" s="10"/>
      <c r="F37" s="10"/>
      <c r="G37" s="10">
        <v>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1">
        <v>1</v>
      </c>
    </row>
    <row r="38" spans="1:21" x14ac:dyDescent="0.3">
      <c r="A38" s="7"/>
      <c r="B38" s="9" t="s">
        <v>96</v>
      </c>
      <c r="C38" s="9"/>
      <c r="D38" s="10"/>
      <c r="E38" s="10"/>
      <c r="F38" s="10"/>
      <c r="G38" s="10">
        <v>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1">
        <v>8</v>
      </c>
    </row>
    <row r="39" spans="1:21" x14ac:dyDescent="0.3">
      <c r="A39" s="7"/>
      <c r="B39" s="9" t="s">
        <v>97</v>
      </c>
      <c r="C39" s="9"/>
      <c r="D39" s="10"/>
      <c r="E39" s="10"/>
      <c r="F39" s="10"/>
      <c r="G39" s="10"/>
      <c r="H39" s="10">
        <v>1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1">
        <v>1</v>
      </c>
    </row>
    <row r="40" spans="1:21" x14ac:dyDescent="0.3">
      <c r="A40" s="7"/>
      <c r="B40" s="9" t="s">
        <v>98</v>
      </c>
      <c r="C40" s="9"/>
      <c r="D40" s="10"/>
      <c r="E40" s="10">
        <v>0.3</v>
      </c>
      <c r="F40" s="10"/>
      <c r="G40" s="10"/>
      <c r="H40" s="10"/>
      <c r="I40" s="10"/>
      <c r="J40" s="10"/>
      <c r="K40" s="10"/>
      <c r="L40" s="10"/>
      <c r="M40" s="10"/>
      <c r="N40" s="10">
        <v>1</v>
      </c>
      <c r="O40" s="10"/>
      <c r="P40" s="10"/>
      <c r="Q40" s="10"/>
      <c r="R40" s="10"/>
      <c r="S40" s="10"/>
      <c r="T40" s="10"/>
      <c r="U40" s="11">
        <v>1.3</v>
      </c>
    </row>
    <row r="41" spans="1:21" x14ac:dyDescent="0.3">
      <c r="A41" s="7"/>
      <c r="B41" s="4" t="s">
        <v>99</v>
      </c>
      <c r="C41" s="4"/>
      <c r="D41" s="5"/>
      <c r="E41" s="5">
        <v>0.1</v>
      </c>
      <c r="F41" s="5"/>
      <c r="G41" s="5"/>
      <c r="H41" s="5"/>
      <c r="I41" s="5"/>
      <c r="J41" s="5"/>
      <c r="K41" s="5"/>
      <c r="L41" s="5"/>
      <c r="M41" s="5"/>
      <c r="N41" s="5">
        <v>1</v>
      </c>
      <c r="O41" s="5"/>
      <c r="P41" s="5"/>
      <c r="Q41" s="5"/>
      <c r="R41" s="5"/>
      <c r="S41" s="5"/>
      <c r="T41" s="5"/>
      <c r="U41" s="6">
        <v>1.1000000000000001</v>
      </c>
    </row>
    <row r="42" spans="1:21" x14ac:dyDescent="0.3">
      <c r="A42" s="7"/>
      <c r="B42" s="4" t="s">
        <v>100</v>
      </c>
      <c r="C42" s="4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>
        <v>1</v>
      </c>
      <c r="T42" s="5"/>
      <c r="U42" s="6">
        <v>1</v>
      </c>
    </row>
    <row r="43" spans="1:21" x14ac:dyDescent="0.3">
      <c r="A43" s="7"/>
      <c r="B43" s="8" t="s">
        <v>101</v>
      </c>
      <c r="C43" s="9">
        <v>11</v>
      </c>
      <c r="D43" s="10">
        <v>3</v>
      </c>
      <c r="E43" s="10"/>
      <c r="F43" s="10"/>
      <c r="G43" s="10">
        <v>3</v>
      </c>
      <c r="H43" s="10">
        <v>13</v>
      </c>
      <c r="I43" s="10"/>
      <c r="J43" s="10"/>
      <c r="K43" s="10">
        <v>3</v>
      </c>
      <c r="L43" s="10"/>
      <c r="M43" s="10"/>
      <c r="N43" s="10"/>
      <c r="O43" s="10"/>
      <c r="P43" s="10">
        <v>1</v>
      </c>
      <c r="Q43" s="10"/>
      <c r="R43" s="10"/>
      <c r="S43" s="10"/>
      <c r="T43" s="10">
        <v>2</v>
      </c>
      <c r="U43" s="11">
        <v>36</v>
      </c>
    </row>
    <row r="44" spans="1:21" x14ac:dyDescent="0.3">
      <c r="A44" s="7"/>
      <c r="B44" s="9" t="s">
        <v>102</v>
      </c>
      <c r="C44" s="9"/>
      <c r="D44" s="10"/>
      <c r="E44" s="10"/>
      <c r="F44" s="10"/>
      <c r="G44" s="10">
        <v>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1">
        <v>1</v>
      </c>
    </row>
    <row r="45" spans="1:21" x14ac:dyDescent="0.3">
      <c r="A45" s="7"/>
      <c r="B45" s="9" t="s">
        <v>103</v>
      </c>
      <c r="C45" s="9"/>
      <c r="D45" s="10"/>
      <c r="E45" s="10"/>
      <c r="F45" s="10"/>
      <c r="G45" s="10">
        <v>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1">
        <v>2</v>
      </c>
    </row>
    <row r="46" spans="1:21" x14ac:dyDescent="0.3">
      <c r="A46" s="7"/>
      <c r="B46" s="9" t="s">
        <v>104</v>
      </c>
      <c r="C46" s="9">
        <v>6</v>
      </c>
      <c r="D46" s="10"/>
      <c r="E46" s="10"/>
      <c r="F46" s="10">
        <v>1</v>
      </c>
      <c r="G46" s="10"/>
      <c r="H46" s="10">
        <v>2</v>
      </c>
      <c r="I46" s="10"/>
      <c r="J46" s="10">
        <v>2</v>
      </c>
      <c r="K46" s="10"/>
      <c r="L46" s="10"/>
      <c r="M46" s="10">
        <v>1</v>
      </c>
      <c r="N46" s="10"/>
      <c r="O46" s="10"/>
      <c r="P46" s="10"/>
      <c r="Q46" s="10"/>
      <c r="R46" s="10"/>
      <c r="S46" s="10"/>
      <c r="T46" s="10"/>
      <c r="U46" s="11">
        <v>12</v>
      </c>
    </row>
    <row r="47" spans="1:21" x14ac:dyDescent="0.3">
      <c r="A47" s="7"/>
      <c r="B47" s="9" t="s">
        <v>105</v>
      </c>
      <c r="C47" s="9">
        <v>1</v>
      </c>
      <c r="D47" s="10"/>
      <c r="E47" s="10"/>
      <c r="F47" s="10"/>
      <c r="G47" s="10"/>
      <c r="H47" s="10">
        <v>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1">
        <v>2</v>
      </c>
    </row>
    <row r="48" spans="1:21" x14ac:dyDescent="0.3">
      <c r="A48" s="7"/>
      <c r="B48" s="9" t="s">
        <v>106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>
        <v>1</v>
      </c>
      <c r="T48" s="10"/>
      <c r="U48" s="11">
        <v>1</v>
      </c>
    </row>
    <row r="49" spans="1:21" x14ac:dyDescent="0.3">
      <c r="A49" s="7"/>
      <c r="B49" s="9" t="s">
        <v>107</v>
      </c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>
        <v>1</v>
      </c>
      <c r="Q49" s="10"/>
      <c r="R49" s="10"/>
      <c r="S49" s="10"/>
      <c r="T49" s="10"/>
      <c r="U49" s="11">
        <v>1</v>
      </c>
    </row>
    <row r="50" spans="1:21" x14ac:dyDescent="0.3">
      <c r="A50" s="7"/>
      <c r="B50" s="9" t="s">
        <v>108</v>
      </c>
      <c r="C50" s="9">
        <v>1</v>
      </c>
      <c r="D50" s="10"/>
      <c r="E50" s="10"/>
      <c r="F50" s="10"/>
      <c r="G50" s="10"/>
      <c r="H50" s="10">
        <v>1</v>
      </c>
      <c r="I50" s="10"/>
      <c r="J50" s="10">
        <v>2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1">
        <v>4</v>
      </c>
    </row>
    <row r="51" spans="1:21" x14ac:dyDescent="0.3">
      <c r="A51" s="7"/>
      <c r="B51" s="8" t="s">
        <v>109</v>
      </c>
      <c r="C51" s="9">
        <v>11</v>
      </c>
      <c r="D51" s="10"/>
      <c r="E51" s="10">
        <v>0.2</v>
      </c>
      <c r="F51" s="10"/>
      <c r="G51" s="10"/>
      <c r="H51" s="10">
        <v>2</v>
      </c>
      <c r="I51" s="10"/>
      <c r="J51" s="10"/>
      <c r="K51" s="10"/>
      <c r="L51" s="10"/>
      <c r="M51" s="10"/>
      <c r="N51" s="10">
        <v>2</v>
      </c>
      <c r="O51" s="10"/>
      <c r="P51" s="10"/>
      <c r="Q51" s="10"/>
      <c r="R51" s="10"/>
      <c r="S51" s="10">
        <v>1</v>
      </c>
      <c r="T51" s="10"/>
      <c r="U51" s="11">
        <v>16.2</v>
      </c>
    </row>
    <row r="52" spans="1:21" x14ac:dyDescent="0.3">
      <c r="A52" s="7"/>
      <c r="B52" s="9" t="s">
        <v>110</v>
      </c>
      <c r="C52" s="9"/>
      <c r="D52" s="10"/>
      <c r="E52" s="10"/>
      <c r="F52" s="10"/>
      <c r="G52" s="10"/>
      <c r="H52" s="10">
        <v>1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1">
        <v>1</v>
      </c>
    </row>
    <row r="53" spans="1:21" x14ac:dyDescent="0.3">
      <c r="A53" s="7"/>
      <c r="B53" s="9" t="s">
        <v>111</v>
      </c>
      <c r="C53" s="9">
        <v>1</v>
      </c>
      <c r="D53" s="10">
        <v>1</v>
      </c>
      <c r="E53" s="10"/>
      <c r="F53" s="10">
        <v>1</v>
      </c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>
        <v>3</v>
      </c>
      <c r="T53" s="10"/>
      <c r="U53" s="11">
        <v>6</v>
      </c>
    </row>
    <row r="54" spans="1:21" x14ac:dyDescent="0.3">
      <c r="A54" s="7"/>
      <c r="B54" s="9" t="s">
        <v>112</v>
      </c>
      <c r="C54" s="9"/>
      <c r="D54" s="10"/>
      <c r="E54" s="10"/>
      <c r="F54" s="10"/>
      <c r="G54" s="10"/>
      <c r="H54" s="10">
        <v>1</v>
      </c>
      <c r="I54" s="10"/>
      <c r="J54" s="10"/>
      <c r="K54" s="10">
        <v>1</v>
      </c>
      <c r="L54" s="10"/>
      <c r="M54" s="10"/>
      <c r="N54" s="10"/>
      <c r="O54" s="10"/>
      <c r="P54" s="10"/>
      <c r="Q54" s="10"/>
      <c r="R54" s="10"/>
      <c r="S54" s="10"/>
      <c r="T54" s="10"/>
      <c r="U54" s="11">
        <v>2</v>
      </c>
    </row>
    <row r="55" spans="1:21" x14ac:dyDescent="0.3">
      <c r="A55" s="7"/>
      <c r="B55" s="9" t="s">
        <v>113</v>
      </c>
      <c r="C55" s="9"/>
      <c r="D55" s="10"/>
      <c r="E55" s="10"/>
      <c r="F55" s="10"/>
      <c r="G55" s="10">
        <v>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1">
        <v>1</v>
      </c>
    </row>
    <row r="56" spans="1:21" x14ac:dyDescent="0.3">
      <c r="A56" s="7"/>
      <c r="B56" s="9" t="s">
        <v>114</v>
      </c>
      <c r="C56" s="9"/>
      <c r="D56" s="10"/>
      <c r="E56" s="10"/>
      <c r="F56" s="10">
        <v>1</v>
      </c>
      <c r="G56" s="10"/>
      <c r="H56" s="10">
        <v>1</v>
      </c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1">
        <v>2</v>
      </c>
    </row>
    <row r="57" spans="1:21" x14ac:dyDescent="0.3">
      <c r="A57" s="7"/>
      <c r="B57" s="9" t="s">
        <v>115</v>
      </c>
      <c r="C57" s="9"/>
      <c r="D57" s="10"/>
      <c r="E57" s="10"/>
      <c r="F57" s="10"/>
      <c r="G57" s="10"/>
      <c r="H57" s="10">
        <v>1</v>
      </c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1">
        <v>1</v>
      </c>
    </row>
    <row r="58" spans="1:21" x14ac:dyDescent="0.3">
      <c r="A58" s="7"/>
      <c r="B58" s="9" t="s">
        <v>116</v>
      </c>
      <c r="C58" s="9"/>
      <c r="D58" s="10"/>
      <c r="E58" s="10"/>
      <c r="F58" s="10"/>
      <c r="G58" s="10"/>
      <c r="H58" s="10">
        <v>1</v>
      </c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>
        <v>1</v>
      </c>
      <c r="T58" s="10"/>
      <c r="U58" s="11">
        <v>2</v>
      </c>
    </row>
    <row r="59" spans="1:21" x14ac:dyDescent="0.3">
      <c r="A59" s="7"/>
      <c r="B59" s="9" t="s">
        <v>117</v>
      </c>
      <c r="C59" s="9"/>
      <c r="D59" s="10"/>
      <c r="E59" s="10"/>
      <c r="F59" s="10">
        <v>1</v>
      </c>
      <c r="G59" s="10"/>
      <c r="H59" s="10">
        <v>1.25</v>
      </c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1">
        <v>2.25</v>
      </c>
    </row>
    <row r="60" spans="1:21" x14ac:dyDescent="0.3">
      <c r="A60" s="7"/>
      <c r="B60" s="9" t="s">
        <v>118</v>
      </c>
      <c r="C60" s="9">
        <v>1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1">
        <v>1</v>
      </c>
    </row>
    <row r="61" spans="1:21" x14ac:dyDescent="0.3">
      <c r="A61" s="7"/>
      <c r="B61" s="9" t="s">
        <v>119</v>
      </c>
      <c r="C61" s="9"/>
      <c r="D61" s="10"/>
      <c r="E61" s="10"/>
      <c r="F61" s="10"/>
      <c r="G61" s="10"/>
      <c r="H61" s="10">
        <v>1</v>
      </c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1">
        <v>1</v>
      </c>
    </row>
    <row r="62" spans="1:21" x14ac:dyDescent="0.3">
      <c r="A62" s="7"/>
      <c r="B62" s="9" t="s">
        <v>120</v>
      </c>
      <c r="C62" s="9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>
        <v>1</v>
      </c>
      <c r="T62" s="10"/>
      <c r="U62" s="11">
        <v>1</v>
      </c>
    </row>
    <row r="63" spans="1:21" x14ac:dyDescent="0.3">
      <c r="A63" s="7"/>
      <c r="B63" s="9" t="s">
        <v>121</v>
      </c>
      <c r="C63" s="9">
        <v>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1">
        <v>1</v>
      </c>
    </row>
    <row r="64" spans="1:21" x14ac:dyDescent="0.3">
      <c r="A64" s="7"/>
      <c r="B64" s="9" t="s">
        <v>122</v>
      </c>
      <c r="C64" s="9"/>
      <c r="D64" s="10"/>
      <c r="E64" s="10"/>
      <c r="F64" s="10"/>
      <c r="G64" s="10">
        <v>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1">
        <v>1</v>
      </c>
    </row>
    <row r="65" spans="1:21" x14ac:dyDescent="0.3">
      <c r="A65" s="7"/>
      <c r="B65" s="9" t="s">
        <v>123</v>
      </c>
      <c r="C65" s="9">
        <v>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1">
        <v>1</v>
      </c>
    </row>
    <row r="66" spans="1:21" x14ac:dyDescent="0.3">
      <c r="A66" s="7"/>
      <c r="B66" s="9" t="s">
        <v>124</v>
      </c>
      <c r="C66" s="9"/>
      <c r="D66" s="10"/>
      <c r="E66" s="10"/>
      <c r="F66" s="10"/>
      <c r="G66" s="10"/>
      <c r="H66" s="10">
        <v>4</v>
      </c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1">
        <v>4</v>
      </c>
    </row>
    <row r="67" spans="1:21" x14ac:dyDescent="0.3">
      <c r="A67" s="7"/>
      <c r="B67" s="9" t="s">
        <v>125</v>
      </c>
      <c r="C67" s="9"/>
      <c r="D67" s="10"/>
      <c r="E67" s="10"/>
      <c r="F67" s="10"/>
      <c r="G67" s="10"/>
      <c r="H67" s="10">
        <v>1</v>
      </c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1">
        <v>1</v>
      </c>
    </row>
    <row r="68" spans="1:21" x14ac:dyDescent="0.3">
      <c r="A68" s="7"/>
      <c r="B68" s="9" t="s">
        <v>126</v>
      </c>
      <c r="C68" s="9"/>
      <c r="D68" s="10"/>
      <c r="E68" s="10">
        <v>0.75</v>
      </c>
      <c r="F68" s="10"/>
      <c r="G68" s="10"/>
      <c r="H68" s="10"/>
      <c r="I68" s="10"/>
      <c r="J68" s="10"/>
      <c r="K68" s="10"/>
      <c r="L68" s="10"/>
      <c r="M68" s="10"/>
      <c r="N68" s="10">
        <v>0.25</v>
      </c>
      <c r="O68" s="10"/>
      <c r="P68" s="10"/>
      <c r="Q68" s="10"/>
      <c r="R68" s="10"/>
      <c r="S68" s="10"/>
      <c r="T68" s="10"/>
      <c r="U68" s="11">
        <v>1</v>
      </c>
    </row>
    <row r="69" spans="1:21" x14ac:dyDescent="0.3">
      <c r="A69" s="7"/>
      <c r="B69" s="9" t="s">
        <v>127</v>
      </c>
      <c r="C69" s="9">
        <v>1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1">
        <v>1</v>
      </c>
    </row>
    <row r="70" spans="1:21" x14ac:dyDescent="0.3">
      <c r="A70" s="7"/>
      <c r="B70" s="9" t="s">
        <v>128</v>
      </c>
      <c r="C70" s="9"/>
      <c r="D70" s="10"/>
      <c r="E70" s="10"/>
      <c r="F70" s="10"/>
      <c r="G70" s="10"/>
      <c r="H70" s="10">
        <v>1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1">
        <v>1</v>
      </c>
    </row>
    <row r="71" spans="1:21" x14ac:dyDescent="0.3">
      <c r="A71" s="7"/>
      <c r="B71" s="9" t="s">
        <v>129</v>
      </c>
      <c r="C71" s="9">
        <v>1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1">
        <v>1</v>
      </c>
    </row>
    <row r="72" spans="1:21" x14ac:dyDescent="0.3">
      <c r="A72" s="7"/>
      <c r="B72" s="9" t="s">
        <v>130</v>
      </c>
      <c r="C72" s="9">
        <v>1</v>
      </c>
      <c r="D72" s="10"/>
      <c r="E72" s="10"/>
      <c r="F72" s="10"/>
      <c r="G72" s="10"/>
      <c r="H72" s="10">
        <v>1</v>
      </c>
      <c r="I72" s="10"/>
      <c r="J72" s="10">
        <v>1</v>
      </c>
      <c r="K72" s="10"/>
      <c r="L72" s="10">
        <v>3</v>
      </c>
      <c r="M72" s="10">
        <v>1</v>
      </c>
      <c r="N72" s="10"/>
      <c r="O72" s="10"/>
      <c r="P72" s="10"/>
      <c r="Q72" s="10"/>
      <c r="R72" s="10"/>
      <c r="S72" s="10"/>
      <c r="T72" s="10"/>
      <c r="U72" s="11">
        <v>7</v>
      </c>
    </row>
    <row r="73" spans="1:21" x14ac:dyDescent="0.3">
      <c r="A73" s="7"/>
      <c r="B73" s="9" t="s">
        <v>131</v>
      </c>
      <c r="C73" s="9">
        <v>2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>
        <v>1</v>
      </c>
      <c r="U73" s="11">
        <v>3</v>
      </c>
    </row>
    <row r="74" spans="1:21" x14ac:dyDescent="0.3">
      <c r="A74" s="7"/>
      <c r="B74" s="9" t="s">
        <v>132</v>
      </c>
      <c r="C74" s="9"/>
      <c r="D74" s="10">
        <v>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1">
        <v>1</v>
      </c>
    </row>
    <row r="75" spans="1:21" x14ac:dyDescent="0.3">
      <c r="A75" s="7"/>
      <c r="B75" s="9" t="s">
        <v>133</v>
      </c>
      <c r="C75" s="9"/>
      <c r="D75" s="10"/>
      <c r="E75" s="10"/>
      <c r="F75" s="10"/>
      <c r="G75" s="10"/>
      <c r="H75" s="10">
        <v>1</v>
      </c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1">
        <v>1</v>
      </c>
    </row>
    <row r="76" spans="1:21" x14ac:dyDescent="0.3">
      <c r="A76" s="7"/>
      <c r="B76" s="9" t="s">
        <v>134</v>
      </c>
      <c r="C76" s="9">
        <v>2.2999999999999998</v>
      </c>
      <c r="D76" s="10"/>
      <c r="E76" s="10"/>
      <c r="F76" s="10"/>
      <c r="G76" s="10">
        <v>1</v>
      </c>
      <c r="H76" s="10">
        <v>1</v>
      </c>
      <c r="I76" s="10">
        <v>1</v>
      </c>
      <c r="J76" s="10">
        <v>3.3</v>
      </c>
      <c r="K76" s="10"/>
      <c r="L76" s="10">
        <v>5</v>
      </c>
      <c r="M76" s="10"/>
      <c r="N76" s="10"/>
      <c r="O76" s="10"/>
      <c r="P76" s="10"/>
      <c r="Q76" s="10"/>
      <c r="R76" s="10"/>
      <c r="S76" s="10"/>
      <c r="T76" s="10"/>
      <c r="U76" s="11">
        <v>13.6</v>
      </c>
    </row>
    <row r="77" spans="1:21" x14ac:dyDescent="0.3">
      <c r="A77" s="7"/>
      <c r="B77" s="9" t="s">
        <v>135</v>
      </c>
      <c r="C77" s="9"/>
      <c r="D77" s="10"/>
      <c r="E77" s="10"/>
      <c r="F77" s="10"/>
      <c r="G77" s="10"/>
      <c r="H77" s="10">
        <v>1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1">
        <v>1</v>
      </c>
    </row>
    <row r="78" spans="1:21" x14ac:dyDescent="0.3">
      <c r="A78" s="7"/>
      <c r="B78" s="9" t="s">
        <v>136</v>
      </c>
      <c r="C78" s="9">
        <v>1</v>
      </c>
      <c r="D78" s="10"/>
      <c r="E78" s="10"/>
      <c r="F78" s="10"/>
      <c r="G78" s="10"/>
      <c r="H78" s="10">
        <v>1.3</v>
      </c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1">
        <v>2.2999999999999998</v>
      </c>
    </row>
    <row r="79" spans="1:21" x14ac:dyDescent="0.3">
      <c r="A79" s="7"/>
      <c r="B79" s="9" t="s">
        <v>137</v>
      </c>
      <c r="C79" s="9">
        <v>0.25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>
        <v>2</v>
      </c>
      <c r="T79" s="10"/>
      <c r="U79" s="11">
        <v>2.25</v>
      </c>
    </row>
    <row r="80" spans="1:21" x14ac:dyDescent="0.3">
      <c r="A80" s="7"/>
      <c r="B80" s="9" t="s">
        <v>138</v>
      </c>
      <c r="C80" s="9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>
        <v>1</v>
      </c>
      <c r="Q80" s="10"/>
      <c r="R80" s="10"/>
      <c r="S80" s="10"/>
      <c r="T80" s="10"/>
      <c r="U80" s="11">
        <v>1</v>
      </c>
    </row>
    <row r="81" spans="1:21" x14ac:dyDescent="0.3">
      <c r="A81" s="7"/>
      <c r="B81" s="9" t="s">
        <v>139</v>
      </c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>
        <v>2</v>
      </c>
      <c r="Q81" s="10"/>
      <c r="R81" s="10"/>
      <c r="S81" s="10"/>
      <c r="T81" s="10"/>
      <c r="U81" s="11">
        <v>2</v>
      </c>
    </row>
    <row r="82" spans="1:21" x14ac:dyDescent="0.3">
      <c r="A82" s="7"/>
      <c r="B82" s="9" t="s">
        <v>140</v>
      </c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>
        <v>1</v>
      </c>
      <c r="Q82" s="10"/>
      <c r="R82" s="10"/>
      <c r="S82" s="10"/>
      <c r="T82" s="10"/>
      <c r="U82" s="11">
        <v>1</v>
      </c>
    </row>
    <row r="83" spans="1:21" x14ac:dyDescent="0.3">
      <c r="A83" s="7"/>
      <c r="B83" s="9" t="s">
        <v>141</v>
      </c>
      <c r="C83" s="9"/>
      <c r="D83" s="10"/>
      <c r="E83" s="10"/>
      <c r="F83" s="10"/>
      <c r="G83" s="10"/>
      <c r="H83" s="10">
        <v>1</v>
      </c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1">
        <v>1</v>
      </c>
    </row>
    <row r="84" spans="1:21" x14ac:dyDescent="0.3">
      <c r="A84" s="7"/>
      <c r="B84" s="9" t="s">
        <v>142</v>
      </c>
      <c r="C84" s="9"/>
      <c r="D84" s="10"/>
      <c r="E84" s="10"/>
      <c r="F84" s="10"/>
      <c r="G84" s="10"/>
      <c r="H84" s="10">
        <v>1</v>
      </c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1">
        <v>1</v>
      </c>
    </row>
    <row r="85" spans="1:21" x14ac:dyDescent="0.3">
      <c r="A85" s="7"/>
      <c r="B85" s="9" t="s">
        <v>143</v>
      </c>
      <c r="C85" s="9"/>
      <c r="D85" s="10"/>
      <c r="E85" s="10"/>
      <c r="F85" s="10"/>
      <c r="G85" s="10"/>
      <c r="H85" s="10">
        <v>2</v>
      </c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1">
        <v>2</v>
      </c>
    </row>
    <row r="86" spans="1:21" x14ac:dyDescent="0.3">
      <c r="A86" s="7"/>
      <c r="B86" s="8" t="s">
        <v>144</v>
      </c>
      <c r="C86" s="9">
        <v>15</v>
      </c>
      <c r="D86" s="10"/>
      <c r="E86" s="10"/>
      <c r="F86" s="10">
        <v>2</v>
      </c>
      <c r="G86" s="10"/>
      <c r="H86" s="10">
        <v>6</v>
      </c>
      <c r="I86" s="10"/>
      <c r="J86" s="10"/>
      <c r="K86" s="10">
        <v>4.5</v>
      </c>
      <c r="L86" s="10"/>
      <c r="M86" s="10"/>
      <c r="N86" s="10"/>
      <c r="O86" s="10"/>
      <c r="P86" s="10">
        <v>0.5</v>
      </c>
      <c r="Q86" s="10"/>
      <c r="R86" s="10"/>
      <c r="S86" s="10"/>
      <c r="T86" s="10"/>
      <c r="U86" s="11">
        <v>28</v>
      </c>
    </row>
    <row r="87" spans="1:21" x14ac:dyDescent="0.3">
      <c r="A87" s="7"/>
      <c r="B87" s="9" t="s">
        <v>145</v>
      </c>
      <c r="C87" s="9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>
        <v>1</v>
      </c>
      <c r="T87" s="10"/>
      <c r="U87" s="11">
        <v>1</v>
      </c>
    </row>
    <row r="88" spans="1:21" x14ac:dyDescent="0.3">
      <c r="A88" s="7"/>
      <c r="B88" s="9" t="s">
        <v>146</v>
      </c>
      <c r="C88" s="9"/>
      <c r="D88" s="10"/>
      <c r="E88" s="10"/>
      <c r="F88" s="10"/>
      <c r="G88" s="10"/>
      <c r="H88" s="10">
        <v>1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1">
        <v>1</v>
      </c>
    </row>
    <row r="89" spans="1:21" x14ac:dyDescent="0.3">
      <c r="A89" s="7"/>
      <c r="B89" s="9" t="s">
        <v>147</v>
      </c>
      <c r="C89" s="9">
        <v>1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1">
        <v>1</v>
      </c>
    </row>
    <row r="90" spans="1:21" x14ac:dyDescent="0.3">
      <c r="A90" s="7"/>
      <c r="B90" s="9" t="s">
        <v>148</v>
      </c>
      <c r="C90" s="9"/>
      <c r="D90" s="10"/>
      <c r="E90" s="10">
        <v>2</v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1">
        <v>2</v>
      </c>
    </row>
    <row r="91" spans="1:21" x14ac:dyDescent="0.3">
      <c r="A91" s="7"/>
      <c r="B91" s="9" t="s">
        <v>149</v>
      </c>
      <c r="C91" s="9">
        <v>2</v>
      </c>
      <c r="D91" s="10"/>
      <c r="E91" s="10"/>
      <c r="F91" s="10"/>
      <c r="G91" s="10"/>
      <c r="H91" s="10">
        <v>3</v>
      </c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1">
        <v>5</v>
      </c>
    </row>
    <row r="92" spans="1:21" x14ac:dyDescent="0.3">
      <c r="A92" s="7"/>
      <c r="B92" s="9" t="s">
        <v>150</v>
      </c>
      <c r="C92" s="9">
        <v>1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1">
        <v>1</v>
      </c>
    </row>
    <row r="93" spans="1:21" x14ac:dyDescent="0.3">
      <c r="A93" s="7"/>
      <c r="B93" s="9" t="s">
        <v>151</v>
      </c>
      <c r="C93" s="9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>
        <v>1</v>
      </c>
      <c r="Q93" s="10"/>
      <c r="R93" s="10"/>
      <c r="S93" s="10"/>
      <c r="T93" s="10"/>
      <c r="U93" s="11">
        <v>1</v>
      </c>
    </row>
    <row r="94" spans="1:21" x14ac:dyDescent="0.3">
      <c r="A94" s="7"/>
      <c r="B94" s="9" t="s">
        <v>152</v>
      </c>
      <c r="C94" s="9"/>
      <c r="D94" s="10">
        <v>1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1">
        <v>1</v>
      </c>
    </row>
    <row r="95" spans="1:21" x14ac:dyDescent="0.3">
      <c r="A95" s="7"/>
      <c r="B95" s="9" t="s">
        <v>153</v>
      </c>
      <c r="C95" s="9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>
        <v>1</v>
      </c>
      <c r="Q95" s="10"/>
      <c r="R95" s="10"/>
      <c r="S95" s="10"/>
      <c r="T95" s="10"/>
      <c r="U95" s="11">
        <v>1</v>
      </c>
    </row>
    <row r="96" spans="1:21" x14ac:dyDescent="0.3">
      <c r="A96" s="7"/>
      <c r="B96" s="9" t="s">
        <v>154</v>
      </c>
      <c r="C96" s="9">
        <v>1</v>
      </c>
      <c r="D96" s="10"/>
      <c r="E96" s="10"/>
      <c r="F96" s="10"/>
      <c r="G96" s="10">
        <v>1</v>
      </c>
      <c r="H96" s="10">
        <v>1</v>
      </c>
      <c r="I96" s="10"/>
      <c r="J96" s="10"/>
      <c r="K96" s="10"/>
      <c r="L96" s="10"/>
      <c r="M96" s="10"/>
      <c r="N96" s="10"/>
      <c r="O96" s="10">
        <v>0.1</v>
      </c>
      <c r="P96" s="10"/>
      <c r="Q96" s="10"/>
      <c r="R96" s="10"/>
      <c r="S96" s="10"/>
      <c r="T96" s="10"/>
      <c r="U96" s="11">
        <v>3.1</v>
      </c>
    </row>
    <row r="97" spans="1:21" x14ac:dyDescent="0.3">
      <c r="A97" s="7"/>
      <c r="B97" s="9" t="s">
        <v>155</v>
      </c>
      <c r="C97" s="9"/>
      <c r="D97" s="10"/>
      <c r="E97" s="10">
        <v>1</v>
      </c>
      <c r="F97" s="10"/>
      <c r="G97" s="10"/>
      <c r="H97" s="10"/>
      <c r="I97" s="10"/>
      <c r="J97" s="10"/>
      <c r="K97" s="10"/>
      <c r="L97" s="10"/>
      <c r="M97" s="10"/>
      <c r="N97" s="10">
        <v>1</v>
      </c>
      <c r="O97" s="10"/>
      <c r="P97" s="10"/>
      <c r="Q97" s="10"/>
      <c r="R97" s="10"/>
      <c r="S97" s="10"/>
      <c r="T97" s="10"/>
      <c r="U97" s="11">
        <v>2</v>
      </c>
    </row>
    <row r="98" spans="1:21" x14ac:dyDescent="0.3">
      <c r="A98" s="7"/>
      <c r="B98" s="9" t="s">
        <v>156</v>
      </c>
      <c r="C98" s="9"/>
      <c r="D98" s="10"/>
      <c r="E98" s="10"/>
      <c r="F98" s="10"/>
      <c r="G98" s="10"/>
      <c r="H98" s="10">
        <v>2</v>
      </c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1">
        <v>2</v>
      </c>
    </row>
    <row r="99" spans="1:21" x14ac:dyDescent="0.3">
      <c r="A99" s="7"/>
      <c r="B99" s="9" t="s">
        <v>157</v>
      </c>
      <c r="C99" s="9"/>
      <c r="D99" s="10"/>
      <c r="E99" s="10"/>
      <c r="F99" s="10"/>
      <c r="G99" s="10"/>
      <c r="H99" s="10">
        <v>1.3</v>
      </c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1">
        <v>1.3</v>
      </c>
    </row>
    <row r="100" spans="1:21" x14ac:dyDescent="0.3">
      <c r="A100" s="7"/>
      <c r="B100" s="9" t="s">
        <v>158</v>
      </c>
      <c r="C100" s="9"/>
      <c r="D100" s="10"/>
      <c r="E100" s="10"/>
      <c r="F100" s="10"/>
      <c r="G100" s="10"/>
      <c r="H100" s="10"/>
      <c r="I100" s="10"/>
      <c r="J100" s="10"/>
      <c r="K100" s="10">
        <v>3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1">
        <v>3</v>
      </c>
    </row>
    <row r="101" spans="1:21" x14ac:dyDescent="0.3">
      <c r="A101" s="7"/>
      <c r="B101" s="9" t="s">
        <v>159</v>
      </c>
      <c r="C101" s="9"/>
      <c r="D101" s="10"/>
      <c r="E101" s="10">
        <v>2</v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1">
        <v>2</v>
      </c>
    </row>
    <row r="102" spans="1:21" x14ac:dyDescent="0.3">
      <c r="A102" s="7"/>
      <c r="B102" s="9" t="s">
        <v>160</v>
      </c>
      <c r="C102" s="9"/>
      <c r="D102" s="10"/>
      <c r="E102" s="10">
        <v>1</v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1">
        <v>1</v>
      </c>
    </row>
    <row r="103" spans="1:21" x14ac:dyDescent="0.3">
      <c r="A103" s="7"/>
      <c r="B103" s="9" t="s">
        <v>161</v>
      </c>
      <c r="C103" s="9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>
        <v>1</v>
      </c>
      <c r="T103" s="10"/>
      <c r="U103" s="11">
        <v>1</v>
      </c>
    </row>
    <row r="104" spans="1:21" x14ac:dyDescent="0.3">
      <c r="A104" s="7"/>
      <c r="B104" s="9" t="s">
        <v>162</v>
      </c>
      <c r="C104" s="9"/>
      <c r="D104" s="10"/>
      <c r="E104" s="10"/>
      <c r="F104" s="10"/>
      <c r="G104" s="10"/>
      <c r="H104" s="10">
        <v>1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1">
        <v>1</v>
      </c>
    </row>
    <row r="105" spans="1:21" x14ac:dyDescent="0.3">
      <c r="A105" s="7"/>
      <c r="B105" s="9" t="s">
        <v>163</v>
      </c>
      <c r="C105" s="9"/>
      <c r="D105" s="10"/>
      <c r="E105" s="10">
        <v>0.2</v>
      </c>
      <c r="F105" s="10"/>
      <c r="G105" s="10"/>
      <c r="H105" s="10"/>
      <c r="I105" s="10"/>
      <c r="J105" s="10"/>
      <c r="K105" s="10"/>
      <c r="L105" s="10"/>
      <c r="M105" s="10"/>
      <c r="N105" s="10">
        <v>1</v>
      </c>
      <c r="O105" s="10"/>
      <c r="P105" s="10"/>
      <c r="Q105" s="10"/>
      <c r="R105" s="10"/>
      <c r="S105" s="10"/>
      <c r="T105" s="10"/>
      <c r="U105" s="11">
        <v>1.2</v>
      </c>
    </row>
    <row r="106" spans="1:21" x14ac:dyDescent="0.3">
      <c r="A106" s="7"/>
      <c r="B106" s="9" t="s">
        <v>164</v>
      </c>
      <c r="C106" s="9"/>
      <c r="D106" s="10"/>
      <c r="E106" s="10"/>
      <c r="F106" s="10"/>
      <c r="G106" s="10"/>
      <c r="H106" s="10">
        <v>2</v>
      </c>
      <c r="I106" s="10"/>
      <c r="J106" s="10"/>
      <c r="K106" s="10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1">
        <v>4</v>
      </c>
    </row>
    <row r="107" spans="1:21" x14ac:dyDescent="0.3">
      <c r="A107" s="7"/>
      <c r="B107" s="9" t="s">
        <v>165</v>
      </c>
      <c r="C107" s="9"/>
      <c r="D107" s="10"/>
      <c r="E107" s="10"/>
      <c r="F107" s="10">
        <v>2</v>
      </c>
      <c r="G107" s="10"/>
      <c r="H107" s="10">
        <v>5</v>
      </c>
      <c r="I107" s="10"/>
      <c r="J107" s="10"/>
      <c r="K107" s="10"/>
      <c r="L107" s="10"/>
      <c r="M107" s="10"/>
      <c r="N107" s="10"/>
      <c r="O107" s="10"/>
      <c r="P107" s="10"/>
      <c r="Q107" s="10"/>
      <c r="R107" s="10">
        <v>1</v>
      </c>
      <c r="S107" s="10"/>
      <c r="T107" s="10"/>
      <c r="U107" s="11">
        <v>8</v>
      </c>
    </row>
    <row r="108" spans="1:21" x14ac:dyDescent="0.3">
      <c r="A108" s="7"/>
      <c r="B108" s="9" t="s">
        <v>166</v>
      </c>
      <c r="C108" s="9"/>
      <c r="D108" s="10"/>
      <c r="E108" s="10"/>
      <c r="F108" s="10"/>
      <c r="G108" s="10"/>
      <c r="H108" s="10">
        <v>1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1">
        <v>1</v>
      </c>
    </row>
    <row r="109" spans="1:21" x14ac:dyDescent="0.3">
      <c r="A109" s="7"/>
      <c r="B109" s="9" t="s">
        <v>167</v>
      </c>
      <c r="C109" s="9"/>
      <c r="D109" s="10"/>
      <c r="E109" s="10"/>
      <c r="F109" s="10"/>
      <c r="G109" s="10"/>
      <c r="H109" s="10">
        <v>1</v>
      </c>
      <c r="I109" s="10"/>
      <c r="J109" s="10"/>
      <c r="K109" s="10">
        <v>1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1">
        <v>2</v>
      </c>
    </row>
    <row r="110" spans="1:21" x14ac:dyDescent="0.3">
      <c r="A110" s="7"/>
      <c r="B110" s="8" t="s">
        <v>168</v>
      </c>
      <c r="C110" s="9">
        <v>2</v>
      </c>
      <c r="D110" s="10">
        <v>1.25</v>
      </c>
      <c r="E110" s="10">
        <v>1.25</v>
      </c>
      <c r="F110" s="10">
        <v>1</v>
      </c>
      <c r="G110" s="10">
        <v>1</v>
      </c>
      <c r="H110" s="10">
        <v>2</v>
      </c>
      <c r="I110" s="10">
        <v>1</v>
      </c>
      <c r="J110" s="10"/>
      <c r="K110" s="10">
        <v>1</v>
      </c>
      <c r="L110" s="10"/>
      <c r="M110" s="10"/>
      <c r="N110" s="10">
        <v>0.5</v>
      </c>
      <c r="O110" s="10"/>
      <c r="P110" s="10"/>
      <c r="Q110" s="10"/>
      <c r="R110" s="10"/>
      <c r="S110" s="10">
        <v>9</v>
      </c>
      <c r="T110" s="10"/>
      <c r="U110" s="11">
        <v>20</v>
      </c>
    </row>
    <row r="111" spans="1:21" x14ac:dyDescent="0.3">
      <c r="A111" s="7"/>
      <c r="B111" s="9" t="s">
        <v>169</v>
      </c>
      <c r="C111" s="9">
        <v>1</v>
      </c>
      <c r="D111" s="10"/>
      <c r="E111" s="10"/>
      <c r="F111" s="10"/>
      <c r="G111" s="10">
        <v>1</v>
      </c>
      <c r="H111" s="10">
        <v>1</v>
      </c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>
        <v>2</v>
      </c>
      <c r="T111" s="10">
        <v>1</v>
      </c>
      <c r="U111" s="11">
        <v>6</v>
      </c>
    </row>
    <row r="112" spans="1:21" x14ac:dyDescent="0.3">
      <c r="A112" s="7"/>
      <c r="B112" s="9" t="s">
        <v>170</v>
      </c>
      <c r="C112" s="9"/>
      <c r="D112" s="10"/>
      <c r="E112" s="10"/>
      <c r="F112" s="10"/>
      <c r="G112" s="10">
        <v>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1">
        <v>1</v>
      </c>
    </row>
    <row r="113" spans="1:21" x14ac:dyDescent="0.3">
      <c r="A113" s="7"/>
      <c r="B113" s="9" t="s">
        <v>171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>
        <v>2</v>
      </c>
      <c r="S113" s="10"/>
      <c r="T113" s="10"/>
      <c r="U113" s="11">
        <v>2</v>
      </c>
    </row>
    <row r="114" spans="1:21" x14ac:dyDescent="0.3">
      <c r="A114" s="7"/>
      <c r="B114" s="9" t="s">
        <v>172</v>
      </c>
      <c r="C114" s="9">
        <v>2.125</v>
      </c>
      <c r="D114" s="10"/>
      <c r="E114" s="10">
        <v>0.65</v>
      </c>
      <c r="F114" s="10">
        <v>1</v>
      </c>
      <c r="G114" s="10">
        <v>1</v>
      </c>
      <c r="H114" s="10">
        <v>3</v>
      </c>
      <c r="I114" s="10"/>
      <c r="J114" s="10"/>
      <c r="K114" s="10"/>
      <c r="L114" s="10"/>
      <c r="M114" s="10"/>
      <c r="N114" s="10">
        <v>0.35</v>
      </c>
      <c r="O114" s="10"/>
      <c r="P114" s="10"/>
      <c r="Q114" s="10"/>
      <c r="R114" s="10"/>
      <c r="S114" s="10">
        <v>1</v>
      </c>
      <c r="T114" s="10"/>
      <c r="U114" s="11">
        <v>9.125</v>
      </c>
    </row>
    <row r="115" spans="1:21" x14ac:dyDescent="0.3">
      <c r="A115" s="7"/>
      <c r="B115" s="9" t="s">
        <v>72</v>
      </c>
      <c r="C115" s="9"/>
      <c r="D115" s="10"/>
      <c r="E115" s="10"/>
      <c r="F115" s="10">
        <v>3</v>
      </c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>
        <v>1</v>
      </c>
      <c r="R115" s="10"/>
      <c r="S115" s="10"/>
      <c r="T115" s="10"/>
      <c r="U115" s="11">
        <v>4</v>
      </c>
    </row>
    <row r="116" spans="1:21" x14ac:dyDescent="0.3">
      <c r="A116" s="7"/>
      <c r="B116" s="9" t="s">
        <v>81</v>
      </c>
      <c r="C116" s="9">
        <v>1</v>
      </c>
      <c r="D116" s="10">
        <v>0.25</v>
      </c>
      <c r="E116" s="10"/>
      <c r="F116" s="10">
        <v>1</v>
      </c>
      <c r="G116" s="10"/>
      <c r="H116" s="10">
        <v>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1">
        <v>3.25</v>
      </c>
    </row>
    <row r="117" spans="1:21" x14ac:dyDescent="0.3">
      <c r="A117" s="7"/>
      <c r="B117" s="9" t="s">
        <v>82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>
        <v>2</v>
      </c>
      <c r="Q117" s="10"/>
      <c r="R117" s="10"/>
      <c r="S117" s="10"/>
      <c r="T117" s="10"/>
      <c r="U117" s="11">
        <v>2</v>
      </c>
    </row>
    <row r="118" spans="1:21" x14ac:dyDescent="0.3">
      <c r="A118" s="7"/>
      <c r="B118" s="9" t="s">
        <v>173</v>
      </c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>
        <v>1</v>
      </c>
      <c r="Q118" s="10"/>
      <c r="R118" s="10"/>
      <c r="S118" s="10"/>
      <c r="T118" s="10"/>
      <c r="U118" s="11">
        <v>1</v>
      </c>
    </row>
    <row r="119" spans="1:21" x14ac:dyDescent="0.3">
      <c r="A119" s="7"/>
      <c r="B119" s="9" t="s">
        <v>89</v>
      </c>
      <c r="C119" s="9"/>
      <c r="D119" s="10">
        <v>1</v>
      </c>
      <c r="E119" s="10"/>
      <c r="F119" s="10">
        <v>3</v>
      </c>
      <c r="G119" s="10"/>
      <c r="H119" s="10"/>
      <c r="I119" s="10"/>
      <c r="J119" s="10"/>
      <c r="K119" s="10"/>
      <c r="L119" s="10"/>
      <c r="M119" s="10"/>
      <c r="N119" s="10"/>
      <c r="O119" s="10"/>
      <c r="P119" s="10">
        <v>1</v>
      </c>
      <c r="Q119" s="10"/>
      <c r="R119" s="10"/>
      <c r="S119" s="10"/>
      <c r="T119" s="10"/>
      <c r="U119" s="11">
        <v>5</v>
      </c>
    </row>
    <row r="120" spans="1:21" x14ac:dyDescent="0.3">
      <c r="A120" s="7"/>
      <c r="B120" s="8" t="s">
        <v>91</v>
      </c>
      <c r="C120" s="9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>
        <v>1</v>
      </c>
      <c r="Q120" s="10"/>
      <c r="R120" s="10"/>
      <c r="S120" s="10"/>
      <c r="T120" s="10"/>
      <c r="U120" s="11">
        <v>1</v>
      </c>
    </row>
    <row r="121" spans="1:21" x14ac:dyDescent="0.3">
      <c r="A121" s="7"/>
      <c r="B121" s="9" t="s">
        <v>174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>
        <v>9</v>
      </c>
      <c r="Q121" s="10"/>
      <c r="R121" s="10"/>
      <c r="S121" s="10"/>
      <c r="T121" s="10"/>
      <c r="U121" s="11">
        <v>9</v>
      </c>
    </row>
    <row r="122" spans="1:21" x14ac:dyDescent="0.3">
      <c r="A122" s="7"/>
      <c r="B122" s="9" t="s">
        <v>175</v>
      </c>
      <c r="C122" s="9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>
        <v>1</v>
      </c>
      <c r="Q122" s="10"/>
      <c r="R122" s="10"/>
      <c r="S122" s="10"/>
      <c r="T122" s="10"/>
      <c r="U122" s="11">
        <v>1</v>
      </c>
    </row>
    <row r="123" spans="1:21" x14ac:dyDescent="0.3">
      <c r="A123" s="7"/>
      <c r="B123" s="9" t="s">
        <v>94</v>
      </c>
      <c r="C123" s="9"/>
      <c r="D123" s="10">
        <v>1</v>
      </c>
      <c r="E123" s="10"/>
      <c r="F123" s="10">
        <v>1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1">
        <v>2</v>
      </c>
    </row>
    <row r="124" spans="1:21" x14ac:dyDescent="0.3">
      <c r="A124" s="12" t="s">
        <v>18</v>
      </c>
      <c r="B124" s="13"/>
      <c r="C124" s="12">
        <v>112.675</v>
      </c>
      <c r="D124" s="14">
        <v>10.5</v>
      </c>
      <c r="E124" s="14">
        <v>10.45</v>
      </c>
      <c r="F124" s="14">
        <v>27</v>
      </c>
      <c r="G124" s="14">
        <v>161</v>
      </c>
      <c r="H124" s="14">
        <v>97.35</v>
      </c>
      <c r="I124" s="14">
        <v>2</v>
      </c>
      <c r="J124" s="14">
        <v>8.3000000000000007</v>
      </c>
      <c r="K124" s="14">
        <v>16.5</v>
      </c>
      <c r="L124" s="14">
        <v>14</v>
      </c>
      <c r="M124" s="14">
        <v>2</v>
      </c>
      <c r="N124" s="14">
        <v>7.6</v>
      </c>
      <c r="O124" s="14">
        <v>0.1</v>
      </c>
      <c r="P124" s="14">
        <v>31</v>
      </c>
      <c r="Q124" s="14">
        <v>1</v>
      </c>
      <c r="R124" s="14">
        <v>7</v>
      </c>
      <c r="S124" s="14">
        <v>58</v>
      </c>
      <c r="T124" s="14">
        <v>7.5</v>
      </c>
      <c r="U124" s="15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546875" defaultRowHeight="14.4" x14ac:dyDescent="0.3"/>
  <cols>
    <col min="1" max="1" width="26.5546875" customWidth="1"/>
    <col min="2" max="2" width="43.6640625" customWidth="1"/>
  </cols>
  <sheetData>
    <row r="1" spans="1:20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43</v>
      </c>
      <c r="S1" s="5" t="s">
        <v>17</v>
      </c>
      <c r="T1" s="6" t="s">
        <v>18</v>
      </c>
    </row>
    <row r="2" spans="1:20" x14ac:dyDescent="0.3">
      <c r="A2" s="4" t="s">
        <v>176</v>
      </c>
      <c r="B2" s="4" t="s">
        <v>177</v>
      </c>
      <c r="C2" s="4"/>
      <c r="D2" s="5"/>
      <c r="E2" s="5"/>
      <c r="F2" s="5"/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>
        <v>1</v>
      </c>
    </row>
    <row r="3" spans="1:20" x14ac:dyDescent="0.3">
      <c r="A3" s="7"/>
      <c r="B3" s="9" t="s">
        <v>178</v>
      </c>
      <c r="C3" s="9"/>
      <c r="D3" s="10"/>
      <c r="E3" s="10"/>
      <c r="F3" s="10"/>
      <c r="G3" s="10"/>
      <c r="H3" s="10">
        <v>1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1">
        <v>1</v>
      </c>
    </row>
    <row r="4" spans="1:20" x14ac:dyDescent="0.3">
      <c r="A4" s="7"/>
      <c r="B4" s="4" t="s">
        <v>179</v>
      </c>
      <c r="C4" s="4"/>
      <c r="D4" s="5"/>
      <c r="E4" s="5"/>
      <c r="F4" s="5"/>
      <c r="G4" s="5"/>
      <c r="H4" s="5"/>
      <c r="I4" s="5"/>
      <c r="J4" s="5"/>
      <c r="K4" s="5"/>
      <c r="L4" s="5"/>
      <c r="M4" s="5">
        <v>1</v>
      </c>
      <c r="N4" s="5"/>
      <c r="O4" s="5"/>
      <c r="P4" s="5"/>
      <c r="Q4" s="5"/>
      <c r="R4" s="5"/>
      <c r="S4" s="5"/>
      <c r="T4" s="6">
        <v>1</v>
      </c>
    </row>
    <row r="5" spans="1:20" x14ac:dyDescent="0.3">
      <c r="A5" s="7"/>
      <c r="B5" s="9" t="s">
        <v>180</v>
      </c>
      <c r="C5" s="9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>
        <v>2</v>
      </c>
      <c r="R5" s="10"/>
      <c r="S5" s="10"/>
      <c r="T5" s="11">
        <v>2</v>
      </c>
    </row>
    <row r="6" spans="1:20" x14ac:dyDescent="0.3">
      <c r="A6" s="7"/>
      <c r="B6" s="9" t="s">
        <v>181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>
        <v>1</v>
      </c>
      <c r="P6" s="10"/>
      <c r="Q6" s="10"/>
      <c r="R6" s="10"/>
      <c r="S6" s="10"/>
      <c r="T6" s="11">
        <v>1</v>
      </c>
    </row>
    <row r="7" spans="1:20" x14ac:dyDescent="0.3">
      <c r="A7" s="7"/>
      <c r="B7" s="9" t="s">
        <v>182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>
        <v>1</v>
      </c>
      <c r="P7" s="10"/>
      <c r="Q7" s="10"/>
      <c r="R7" s="10"/>
      <c r="S7" s="10"/>
      <c r="T7" s="11">
        <v>1</v>
      </c>
    </row>
    <row r="8" spans="1:20" x14ac:dyDescent="0.3">
      <c r="A8" s="7"/>
      <c r="B8" s="9" t="s">
        <v>183</v>
      </c>
      <c r="C8" s="9">
        <v>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1">
        <v>1</v>
      </c>
    </row>
    <row r="9" spans="1:20" x14ac:dyDescent="0.3">
      <c r="A9" s="7"/>
      <c r="B9" s="8" t="s">
        <v>184</v>
      </c>
      <c r="C9" s="9">
        <v>1</v>
      </c>
      <c r="D9" s="10">
        <v>1</v>
      </c>
      <c r="E9" s="10">
        <v>9.65</v>
      </c>
      <c r="F9" s="10">
        <v>6</v>
      </c>
      <c r="G9" s="10">
        <v>68</v>
      </c>
      <c r="H9" s="10">
        <v>2.5</v>
      </c>
      <c r="I9" s="10">
        <v>3</v>
      </c>
      <c r="J9" s="10"/>
      <c r="K9" s="10"/>
      <c r="L9" s="10"/>
      <c r="M9" s="10"/>
      <c r="N9" s="10">
        <v>3.65</v>
      </c>
      <c r="O9" s="10">
        <v>1</v>
      </c>
      <c r="P9" s="10">
        <v>9</v>
      </c>
      <c r="Q9" s="10"/>
      <c r="R9" s="10"/>
      <c r="S9" s="10">
        <v>8</v>
      </c>
      <c r="T9" s="11">
        <v>112.8</v>
      </c>
    </row>
    <row r="10" spans="1:20" x14ac:dyDescent="0.3">
      <c r="A10" s="7"/>
      <c r="B10" s="9" t="s">
        <v>185</v>
      </c>
      <c r="C10" s="9">
        <v>13.5</v>
      </c>
      <c r="D10" s="10"/>
      <c r="E10" s="10"/>
      <c r="F10" s="10"/>
      <c r="G10" s="10">
        <v>9</v>
      </c>
      <c r="H10" s="10">
        <v>11</v>
      </c>
      <c r="I10" s="10"/>
      <c r="J10" s="10"/>
      <c r="K10" s="10"/>
      <c r="L10" s="10"/>
      <c r="M10" s="10"/>
      <c r="N10" s="10"/>
      <c r="O10" s="10"/>
      <c r="P10" s="10"/>
      <c r="Q10" s="10">
        <v>7</v>
      </c>
      <c r="R10" s="10"/>
      <c r="S10" s="10">
        <v>3</v>
      </c>
      <c r="T10" s="11">
        <v>43.5</v>
      </c>
    </row>
    <row r="11" spans="1:20" x14ac:dyDescent="0.3">
      <c r="A11" s="7"/>
      <c r="B11" s="9" t="s">
        <v>186</v>
      </c>
      <c r="C11" s="9">
        <v>7</v>
      </c>
      <c r="D11" s="10"/>
      <c r="E11" s="10"/>
      <c r="F11" s="10"/>
      <c r="G11" s="10">
        <v>4</v>
      </c>
      <c r="H11" s="10">
        <v>3</v>
      </c>
      <c r="I11" s="10">
        <v>1</v>
      </c>
      <c r="J11" s="10"/>
      <c r="K11" s="10">
        <v>1</v>
      </c>
      <c r="L11" s="10"/>
      <c r="M11" s="10"/>
      <c r="N11" s="10"/>
      <c r="O11" s="10"/>
      <c r="P11" s="10"/>
      <c r="Q11" s="10"/>
      <c r="R11" s="10"/>
      <c r="S11" s="10"/>
      <c r="T11" s="11">
        <v>16</v>
      </c>
    </row>
    <row r="12" spans="1:20" x14ac:dyDescent="0.3">
      <c r="A12" s="7"/>
      <c r="B12" s="9" t="s">
        <v>187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>
        <v>1</v>
      </c>
      <c r="P12" s="10"/>
      <c r="Q12" s="10"/>
      <c r="R12" s="10"/>
      <c r="S12" s="10"/>
      <c r="T12" s="11">
        <v>1</v>
      </c>
    </row>
    <row r="13" spans="1:20" x14ac:dyDescent="0.3">
      <c r="A13" s="7"/>
      <c r="B13" s="9" t="s">
        <v>188</v>
      </c>
      <c r="C13" s="9"/>
      <c r="D13" s="10"/>
      <c r="E13" s="10"/>
      <c r="F13" s="10"/>
      <c r="G13" s="10"/>
      <c r="H13" s="10"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1">
        <v>1</v>
      </c>
    </row>
    <row r="14" spans="1:20" x14ac:dyDescent="0.3">
      <c r="A14" s="7"/>
      <c r="B14" s="9" t="s">
        <v>189</v>
      </c>
      <c r="C14" s="9"/>
      <c r="D14" s="10"/>
      <c r="E14" s="10"/>
      <c r="F14" s="10"/>
      <c r="G14" s="10">
        <v>12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1">
        <v>12</v>
      </c>
    </row>
    <row r="15" spans="1:20" x14ac:dyDescent="0.3">
      <c r="A15" s="7"/>
      <c r="B15" s="9" t="s">
        <v>190</v>
      </c>
      <c r="C15" s="9">
        <v>15</v>
      </c>
      <c r="D15" s="10"/>
      <c r="E15" s="10"/>
      <c r="F15" s="10">
        <v>11</v>
      </c>
      <c r="G15" s="10"/>
      <c r="H15" s="10">
        <v>27.5</v>
      </c>
      <c r="I15" s="10">
        <v>3</v>
      </c>
      <c r="J15" s="10">
        <v>5</v>
      </c>
      <c r="K15" s="10"/>
      <c r="L15" s="10"/>
      <c r="M15" s="10">
        <v>3</v>
      </c>
      <c r="N15" s="10"/>
      <c r="O15" s="10"/>
      <c r="P15" s="10">
        <v>1</v>
      </c>
      <c r="Q15" s="10"/>
      <c r="R15" s="10"/>
      <c r="S15" s="10">
        <v>9</v>
      </c>
      <c r="T15" s="11">
        <v>74.5</v>
      </c>
    </row>
    <row r="16" spans="1:20" x14ac:dyDescent="0.3">
      <c r="A16" s="7"/>
      <c r="B16" s="9" t="s">
        <v>191</v>
      </c>
      <c r="C16" s="9"/>
      <c r="D16" s="10"/>
      <c r="E16" s="10"/>
      <c r="F16" s="10"/>
      <c r="G16" s="10"/>
      <c r="H16" s="10"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1">
        <v>1</v>
      </c>
    </row>
    <row r="17" spans="1:20" x14ac:dyDescent="0.3">
      <c r="A17" s="7"/>
      <c r="B17" s="9" t="s">
        <v>192</v>
      </c>
      <c r="C17" s="9">
        <v>1</v>
      </c>
      <c r="D17" s="10"/>
      <c r="E17" s="10"/>
      <c r="F17" s="10"/>
      <c r="G17" s="10"/>
      <c r="H17" s="10">
        <v>6.2</v>
      </c>
      <c r="I17" s="10"/>
      <c r="J17" s="10">
        <v>1</v>
      </c>
      <c r="K17" s="10"/>
      <c r="L17" s="10"/>
      <c r="M17" s="10"/>
      <c r="N17" s="10"/>
      <c r="O17" s="10"/>
      <c r="P17" s="10">
        <v>3</v>
      </c>
      <c r="Q17" s="10"/>
      <c r="R17" s="10"/>
      <c r="S17" s="10"/>
      <c r="T17" s="11">
        <v>11.2</v>
      </c>
    </row>
    <row r="18" spans="1:20" x14ac:dyDescent="0.3">
      <c r="A18" s="7"/>
      <c r="B18" s="9" t="s">
        <v>193</v>
      </c>
      <c r="C18" s="9">
        <v>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1">
        <v>3</v>
      </c>
    </row>
    <row r="19" spans="1:20" x14ac:dyDescent="0.3">
      <c r="A19" s="7"/>
      <c r="B19" s="9" t="s">
        <v>194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>
        <v>2</v>
      </c>
      <c r="N19" s="10"/>
      <c r="O19" s="10"/>
      <c r="P19" s="10"/>
      <c r="Q19" s="10"/>
      <c r="R19" s="10"/>
      <c r="S19" s="10"/>
      <c r="T19" s="11">
        <v>2</v>
      </c>
    </row>
    <row r="20" spans="1:20" x14ac:dyDescent="0.3">
      <c r="A20" s="7"/>
      <c r="B20" s="9" t="s">
        <v>195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2</v>
      </c>
      <c r="Q20" s="10"/>
      <c r="R20" s="10"/>
      <c r="S20" s="10"/>
      <c r="T20" s="11">
        <v>2</v>
      </c>
    </row>
    <row r="21" spans="1:20" x14ac:dyDescent="0.3">
      <c r="A21" s="7"/>
      <c r="B21" s="9" t="s">
        <v>196</v>
      </c>
      <c r="C21" s="9"/>
      <c r="D21" s="10"/>
      <c r="E21" s="10"/>
      <c r="F21" s="10"/>
      <c r="G21" s="10"/>
      <c r="H21" s="10">
        <v>1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1">
        <v>1</v>
      </c>
    </row>
    <row r="22" spans="1:20" x14ac:dyDescent="0.3">
      <c r="A22" s="7"/>
      <c r="B22" s="9" t="s">
        <v>197</v>
      </c>
      <c r="C22" s="9">
        <v>1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1">
        <v>1</v>
      </c>
    </row>
    <row r="23" spans="1:20" x14ac:dyDescent="0.3">
      <c r="A23" s="7"/>
      <c r="B23" s="9" t="s">
        <v>198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>
        <v>2</v>
      </c>
      <c r="R23" s="10"/>
      <c r="S23" s="10"/>
      <c r="T23" s="11">
        <v>2</v>
      </c>
    </row>
    <row r="24" spans="1:20" x14ac:dyDescent="0.3">
      <c r="A24" s="7"/>
      <c r="B24" s="9" t="s">
        <v>199</v>
      </c>
      <c r="C24" s="9"/>
      <c r="D24" s="10"/>
      <c r="E24" s="10"/>
      <c r="F24" s="10"/>
      <c r="G24" s="10"/>
      <c r="H24" s="10"/>
      <c r="I24" s="10"/>
      <c r="J24" s="10">
        <v>2</v>
      </c>
      <c r="K24" s="10"/>
      <c r="L24" s="10"/>
      <c r="M24" s="10">
        <v>1</v>
      </c>
      <c r="N24" s="10"/>
      <c r="O24" s="10"/>
      <c r="P24" s="10"/>
      <c r="Q24" s="10"/>
      <c r="R24" s="10"/>
      <c r="S24" s="10"/>
      <c r="T24" s="11">
        <v>3</v>
      </c>
    </row>
    <row r="25" spans="1:20" x14ac:dyDescent="0.3">
      <c r="A25" s="7"/>
      <c r="B25" s="9" t="s">
        <v>200</v>
      </c>
      <c r="C25" s="9"/>
      <c r="D25" s="10"/>
      <c r="E25" s="10"/>
      <c r="F25" s="10"/>
      <c r="G25" s="10"/>
      <c r="H25" s="10"/>
      <c r="I25" s="10"/>
      <c r="J25" s="10">
        <v>1</v>
      </c>
      <c r="K25" s="10"/>
      <c r="L25" s="10"/>
      <c r="M25" s="10"/>
      <c r="N25" s="10"/>
      <c r="O25" s="10"/>
      <c r="P25" s="10"/>
      <c r="Q25" s="10"/>
      <c r="R25" s="10"/>
      <c r="S25" s="10"/>
      <c r="T25" s="11">
        <v>1</v>
      </c>
    </row>
    <row r="26" spans="1:20" x14ac:dyDescent="0.3">
      <c r="A26" s="7"/>
      <c r="B26" s="8" t="s">
        <v>201</v>
      </c>
      <c r="C26" s="9">
        <v>3.5</v>
      </c>
      <c r="D26" s="10"/>
      <c r="E26" s="10"/>
      <c r="F26" s="10"/>
      <c r="G26" s="10"/>
      <c r="H26" s="10">
        <v>6</v>
      </c>
      <c r="I26" s="10"/>
      <c r="J26" s="10"/>
      <c r="K26" s="10">
        <v>1</v>
      </c>
      <c r="L26" s="10">
        <v>1</v>
      </c>
      <c r="M26" s="10">
        <v>2</v>
      </c>
      <c r="N26" s="10"/>
      <c r="O26" s="10"/>
      <c r="P26" s="10"/>
      <c r="Q26" s="10">
        <v>1</v>
      </c>
      <c r="R26" s="10"/>
      <c r="S26" s="10"/>
      <c r="T26" s="11">
        <v>14.5</v>
      </c>
    </row>
    <row r="27" spans="1:20" x14ac:dyDescent="0.3">
      <c r="A27" s="7"/>
      <c r="B27" s="9" t="s">
        <v>202</v>
      </c>
      <c r="C27" s="9">
        <v>6</v>
      </c>
      <c r="D27" s="10"/>
      <c r="E27" s="10"/>
      <c r="F27" s="10"/>
      <c r="G27" s="10"/>
      <c r="H27" s="10">
        <v>2</v>
      </c>
      <c r="I27" s="10"/>
      <c r="J27" s="10">
        <v>2</v>
      </c>
      <c r="K27" s="10"/>
      <c r="L27" s="10"/>
      <c r="M27" s="10"/>
      <c r="N27" s="10"/>
      <c r="O27" s="10"/>
      <c r="P27" s="10"/>
      <c r="Q27" s="10">
        <v>3</v>
      </c>
      <c r="R27" s="10"/>
      <c r="S27" s="10"/>
      <c r="T27" s="11">
        <v>13</v>
      </c>
    </row>
    <row r="28" spans="1:20" x14ac:dyDescent="0.3">
      <c r="A28" s="7"/>
      <c r="B28" s="9" t="s">
        <v>203</v>
      </c>
      <c r="C28" s="9"/>
      <c r="D28" s="10"/>
      <c r="E28" s="10"/>
      <c r="F28" s="10">
        <v>1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1">
        <v>1</v>
      </c>
    </row>
    <row r="29" spans="1:20" x14ac:dyDescent="0.3">
      <c r="A29" s="7"/>
      <c r="B29" s="9" t="s">
        <v>204</v>
      </c>
      <c r="C29" s="9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1">
        <v>1</v>
      </c>
    </row>
    <row r="30" spans="1:20" x14ac:dyDescent="0.3">
      <c r="A30" s="7"/>
      <c r="B30" s="9" t="s">
        <v>205</v>
      </c>
      <c r="C30" s="9"/>
      <c r="D30" s="10"/>
      <c r="E30" s="10"/>
      <c r="F30" s="10"/>
      <c r="G30" s="10"/>
      <c r="H30" s="10">
        <v>2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1">
        <v>2</v>
      </c>
    </row>
    <row r="31" spans="1:20" x14ac:dyDescent="0.3">
      <c r="A31" s="7"/>
      <c r="B31" s="9" t="s">
        <v>206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>
        <v>1</v>
      </c>
      <c r="T31" s="11">
        <v>1</v>
      </c>
    </row>
    <row r="32" spans="1:20" x14ac:dyDescent="0.3">
      <c r="A32" s="7"/>
      <c r="B32" s="9" t="s">
        <v>207</v>
      </c>
      <c r="C32" s="9"/>
      <c r="D32" s="10"/>
      <c r="E32" s="10"/>
      <c r="F32" s="10"/>
      <c r="G32" s="10"/>
      <c r="H32" s="10">
        <v>1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1">
        <v>1</v>
      </c>
    </row>
    <row r="33" spans="1:20" x14ac:dyDescent="0.3">
      <c r="A33" s="7"/>
      <c r="B33" s="9" t="s">
        <v>208</v>
      </c>
      <c r="C33" s="9">
        <v>0.5</v>
      </c>
      <c r="D33" s="10">
        <v>1</v>
      </c>
      <c r="E33" s="10">
        <v>0.1</v>
      </c>
      <c r="F33" s="10">
        <v>2</v>
      </c>
      <c r="G33" s="10"/>
      <c r="H33" s="10"/>
      <c r="I33" s="10"/>
      <c r="J33" s="10"/>
      <c r="K33" s="10">
        <v>2</v>
      </c>
      <c r="L33" s="10"/>
      <c r="M33" s="10"/>
      <c r="N33" s="10"/>
      <c r="O33" s="10"/>
      <c r="P33" s="10"/>
      <c r="Q33" s="10">
        <v>1</v>
      </c>
      <c r="R33" s="10"/>
      <c r="S33" s="10">
        <v>1</v>
      </c>
      <c r="T33" s="11">
        <v>7.6</v>
      </c>
    </row>
    <row r="34" spans="1:20" x14ac:dyDescent="0.3">
      <c r="A34" s="7"/>
      <c r="B34" s="9" t="s">
        <v>209</v>
      </c>
      <c r="C34" s="9"/>
      <c r="D34" s="10"/>
      <c r="E34" s="10"/>
      <c r="F34" s="10"/>
      <c r="G34" s="10"/>
      <c r="H34" s="10">
        <v>2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1">
        <v>2</v>
      </c>
    </row>
    <row r="35" spans="1:20" x14ac:dyDescent="0.3">
      <c r="A35" s="7"/>
      <c r="B35" s="9" t="s">
        <v>210</v>
      </c>
      <c r="C35" s="9"/>
      <c r="D35" s="10">
        <v>1</v>
      </c>
      <c r="E35" s="10"/>
      <c r="F35" s="10">
        <v>1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1">
        <v>2</v>
      </c>
    </row>
    <row r="36" spans="1:20" x14ac:dyDescent="0.3">
      <c r="A36" s="7"/>
      <c r="B36" s="9" t="s">
        <v>211</v>
      </c>
      <c r="C36" s="9"/>
      <c r="D36" s="10"/>
      <c r="E36" s="10"/>
      <c r="F36" s="10"/>
      <c r="G36" s="10">
        <v>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>
        <v>0.5</v>
      </c>
      <c r="T36" s="11">
        <v>1.5</v>
      </c>
    </row>
    <row r="37" spans="1:20" x14ac:dyDescent="0.3">
      <c r="A37" s="7"/>
      <c r="B37" s="9" t="s">
        <v>212</v>
      </c>
      <c r="C37" s="9"/>
      <c r="D37" s="10"/>
      <c r="E37" s="10">
        <v>0.2</v>
      </c>
      <c r="F37" s="10"/>
      <c r="G37" s="10"/>
      <c r="H37" s="10">
        <v>0.5</v>
      </c>
      <c r="I37" s="10"/>
      <c r="J37" s="10"/>
      <c r="K37" s="10"/>
      <c r="L37" s="10"/>
      <c r="M37" s="10"/>
      <c r="N37" s="10">
        <v>0.2</v>
      </c>
      <c r="O37" s="10"/>
      <c r="P37" s="10"/>
      <c r="Q37" s="10"/>
      <c r="R37" s="10"/>
      <c r="S37" s="10">
        <v>0.2</v>
      </c>
      <c r="T37" s="11">
        <v>1.1000000000000001</v>
      </c>
    </row>
    <row r="38" spans="1:20" x14ac:dyDescent="0.3">
      <c r="A38" s="7"/>
      <c r="B38" s="9" t="s">
        <v>213</v>
      </c>
      <c r="C38" s="9">
        <v>1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1">
        <v>1</v>
      </c>
    </row>
    <row r="39" spans="1:20" x14ac:dyDescent="0.3">
      <c r="A39" s="7"/>
      <c r="B39" s="9" t="s">
        <v>214</v>
      </c>
      <c r="C39" s="9">
        <v>1</v>
      </c>
      <c r="D39" s="10"/>
      <c r="E39" s="10"/>
      <c r="F39" s="10"/>
      <c r="G39" s="10"/>
      <c r="H39" s="10">
        <v>1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1">
        <v>2</v>
      </c>
    </row>
    <row r="40" spans="1:20" x14ac:dyDescent="0.3">
      <c r="A40" s="7"/>
      <c r="B40" s="9" t="s">
        <v>215</v>
      </c>
      <c r="C40" s="9">
        <v>1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>
        <v>1</v>
      </c>
      <c r="Q40" s="10"/>
      <c r="R40" s="10"/>
      <c r="S40" s="10"/>
      <c r="T40" s="11">
        <v>2</v>
      </c>
    </row>
    <row r="41" spans="1:20" x14ac:dyDescent="0.3">
      <c r="A41" s="7"/>
      <c r="B41" s="9" t="s">
        <v>216</v>
      </c>
      <c r="C41" s="9"/>
      <c r="D41" s="10"/>
      <c r="E41" s="10"/>
      <c r="F41" s="10">
        <v>0.25</v>
      </c>
      <c r="G41" s="10"/>
      <c r="H41" s="10">
        <v>3</v>
      </c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1">
        <v>3.25</v>
      </c>
    </row>
    <row r="42" spans="1:20" x14ac:dyDescent="0.3">
      <c r="A42" s="7"/>
      <c r="B42" s="9" t="s">
        <v>177</v>
      </c>
      <c r="C42" s="9"/>
      <c r="D42" s="10"/>
      <c r="E42" s="10"/>
      <c r="F42" s="10"/>
      <c r="G42" s="10"/>
      <c r="H42" s="10"/>
      <c r="I42" s="10"/>
      <c r="J42" s="10"/>
      <c r="K42" s="10">
        <v>1</v>
      </c>
      <c r="L42" s="10"/>
      <c r="M42" s="10"/>
      <c r="N42" s="10"/>
      <c r="O42" s="10"/>
      <c r="P42" s="10"/>
      <c r="Q42" s="10"/>
      <c r="R42" s="10"/>
      <c r="S42" s="10">
        <v>0.25</v>
      </c>
      <c r="T42" s="11">
        <v>1.25</v>
      </c>
    </row>
    <row r="43" spans="1:20" x14ac:dyDescent="0.3">
      <c r="A43" s="7"/>
      <c r="B43" s="9" t="s">
        <v>217</v>
      </c>
      <c r="C43" s="9"/>
      <c r="D43" s="10">
        <v>0.5</v>
      </c>
      <c r="E43" s="10"/>
      <c r="F43" s="10">
        <v>1</v>
      </c>
      <c r="G43" s="10"/>
      <c r="H43" s="10">
        <v>1</v>
      </c>
      <c r="I43" s="10"/>
      <c r="J43" s="10"/>
      <c r="K43" s="10"/>
      <c r="L43" s="10"/>
      <c r="M43" s="10"/>
      <c r="N43" s="10"/>
      <c r="O43" s="10"/>
      <c r="P43" s="10">
        <v>1</v>
      </c>
      <c r="Q43" s="10">
        <v>0.25</v>
      </c>
      <c r="R43" s="10"/>
      <c r="S43" s="10">
        <v>1</v>
      </c>
      <c r="T43" s="11">
        <v>4.75</v>
      </c>
    </row>
    <row r="44" spans="1:20" x14ac:dyDescent="0.3">
      <c r="A44" s="7"/>
      <c r="B44" s="9" t="s">
        <v>218</v>
      </c>
      <c r="C44" s="9">
        <v>2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1">
        <v>2</v>
      </c>
    </row>
    <row r="45" spans="1:20" x14ac:dyDescent="0.3">
      <c r="A45" s="7"/>
      <c r="B45" s="9" t="s">
        <v>219</v>
      </c>
      <c r="C45" s="9"/>
      <c r="D45" s="10">
        <v>1</v>
      </c>
      <c r="E45" s="10"/>
      <c r="F45" s="10"/>
      <c r="G45" s="10">
        <v>2</v>
      </c>
      <c r="H45" s="10">
        <v>2</v>
      </c>
      <c r="I45" s="10"/>
      <c r="J45" s="10"/>
      <c r="K45" s="10"/>
      <c r="L45" s="10"/>
      <c r="M45" s="10"/>
      <c r="N45" s="10"/>
      <c r="O45" s="10"/>
      <c r="P45" s="10">
        <v>1</v>
      </c>
      <c r="Q45" s="10">
        <v>0.2</v>
      </c>
      <c r="R45" s="10"/>
      <c r="S45" s="10"/>
      <c r="T45" s="11">
        <v>6.2</v>
      </c>
    </row>
    <row r="46" spans="1:20" x14ac:dyDescent="0.3">
      <c r="A46" s="7"/>
      <c r="B46" s="9" t="s">
        <v>220</v>
      </c>
      <c r="C46" s="9"/>
      <c r="D46" s="10"/>
      <c r="E46" s="10"/>
      <c r="F46" s="10"/>
      <c r="G46" s="10"/>
      <c r="H46" s="10"/>
      <c r="I46" s="10"/>
      <c r="J46" s="10"/>
      <c r="K46" s="10">
        <v>1</v>
      </c>
      <c r="L46" s="10"/>
      <c r="M46" s="10"/>
      <c r="N46" s="10"/>
      <c r="O46" s="10"/>
      <c r="P46" s="10"/>
      <c r="Q46" s="10"/>
      <c r="R46" s="10"/>
      <c r="S46" s="10"/>
      <c r="T46" s="11">
        <v>1</v>
      </c>
    </row>
    <row r="47" spans="1:20" x14ac:dyDescent="0.3">
      <c r="A47" s="7"/>
      <c r="B47" s="9" t="s">
        <v>221</v>
      </c>
      <c r="C47" s="9">
        <v>1</v>
      </c>
      <c r="D47" s="10"/>
      <c r="E47" s="10"/>
      <c r="F47" s="10"/>
      <c r="G47" s="10"/>
      <c r="H47" s="10">
        <v>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1">
        <v>2</v>
      </c>
    </row>
    <row r="48" spans="1:20" x14ac:dyDescent="0.3">
      <c r="A48" s="7"/>
      <c r="B48" s="9" t="s">
        <v>222</v>
      </c>
      <c r="C48" s="9">
        <v>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1">
        <v>1</v>
      </c>
    </row>
    <row r="49" spans="1:20" x14ac:dyDescent="0.3">
      <c r="A49" s="7"/>
      <c r="B49" s="9" t="s">
        <v>223</v>
      </c>
      <c r="C49" s="9"/>
      <c r="D49" s="10"/>
      <c r="E49" s="10"/>
      <c r="F49" s="10"/>
      <c r="G49" s="10"/>
      <c r="H49" s="10"/>
      <c r="I49" s="10"/>
      <c r="J49" s="10"/>
      <c r="K49" s="10">
        <v>1</v>
      </c>
      <c r="L49" s="10"/>
      <c r="M49" s="10"/>
      <c r="N49" s="10"/>
      <c r="O49" s="10"/>
      <c r="P49" s="10"/>
      <c r="Q49" s="10"/>
      <c r="R49" s="10"/>
      <c r="S49" s="10">
        <v>0.5</v>
      </c>
      <c r="T49" s="11">
        <v>1.5</v>
      </c>
    </row>
    <row r="50" spans="1:20" x14ac:dyDescent="0.3">
      <c r="A50" s="7"/>
      <c r="B50" s="9" t="s">
        <v>224</v>
      </c>
      <c r="C50" s="9">
        <v>1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>
        <v>0.5</v>
      </c>
      <c r="O50" s="10"/>
      <c r="P50" s="10"/>
      <c r="Q50" s="10"/>
      <c r="R50" s="10"/>
      <c r="S50" s="10"/>
      <c r="T50" s="11">
        <v>1.5</v>
      </c>
    </row>
    <row r="51" spans="1:20" x14ac:dyDescent="0.3">
      <c r="A51" s="7"/>
      <c r="B51" s="9" t="s">
        <v>225</v>
      </c>
      <c r="C51" s="9">
        <v>2</v>
      </c>
      <c r="D51" s="10"/>
      <c r="E51" s="10"/>
      <c r="F51" s="10"/>
      <c r="G51" s="10"/>
      <c r="H51" s="10"/>
      <c r="I51" s="10"/>
      <c r="J51" s="10"/>
      <c r="K51" s="10">
        <v>0.25</v>
      </c>
      <c r="L51" s="10"/>
      <c r="M51" s="10"/>
      <c r="N51" s="10"/>
      <c r="O51" s="10"/>
      <c r="P51" s="10"/>
      <c r="Q51" s="10"/>
      <c r="R51" s="10"/>
      <c r="S51" s="10"/>
      <c r="T51" s="11">
        <v>2.25</v>
      </c>
    </row>
    <row r="52" spans="1:20" x14ac:dyDescent="0.3">
      <c r="A52" s="7"/>
      <c r="B52" s="9" t="s">
        <v>226</v>
      </c>
      <c r="C52" s="9"/>
      <c r="D52" s="10"/>
      <c r="E52" s="10"/>
      <c r="F52" s="10"/>
      <c r="G52" s="10"/>
      <c r="H52" s="10">
        <v>1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1">
        <v>1</v>
      </c>
    </row>
    <row r="53" spans="1:20" x14ac:dyDescent="0.3">
      <c r="A53" s="7"/>
      <c r="B53" s="9" t="s">
        <v>227</v>
      </c>
      <c r="C53" s="9"/>
      <c r="D53" s="10"/>
      <c r="E53" s="10"/>
      <c r="F53" s="10"/>
      <c r="G53" s="10">
        <v>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1">
        <v>1</v>
      </c>
    </row>
    <row r="54" spans="1:20" x14ac:dyDescent="0.3">
      <c r="A54" s="7"/>
      <c r="B54" s="9" t="s">
        <v>228</v>
      </c>
      <c r="C54" s="9"/>
      <c r="D54" s="10"/>
      <c r="E54" s="10"/>
      <c r="F54" s="10"/>
      <c r="G54" s="10"/>
      <c r="H54" s="10">
        <v>2</v>
      </c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1">
        <v>2</v>
      </c>
    </row>
    <row r="55" spans="1:20" x14ac:dyDescent="0.3">
      <c r="A55" s="7"/>
      <c r="B55" s="9" t="s">
        <v>229</v>
      </c>
      <c r="C55" s="9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>
        <v>2</v>
      </c>
      <c r="R55" s="10"/>
      <c r="S55" s="10"/>
      <c r="T55" s="11">
        <v>2</v>
      </c>
    </row>
    <row r="56" spans="1:20" x14ac:dyDescent="0.3">
      <c r="A56" s="7"/>
      <c r="B56" s="9" t="s">
        <v>230</v>
      </c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>
        <v>1</v>
      </c>
      <c r="T56" s="11">
        <v>1</v>
      </c>
    </row>
    <row r="57" spans="1:20" x14ac:dyDescent="0.3">
      <c r="A57" s="7"/>
      <c r="B57" s="9" t="s">
        <v>231</v>
      </c>
      <c r="C57" s="9">
        <v>1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1">
        <v>1</v>
      </c>
    </row>
    <row r="58" spans="1:20" x14ac:dyDescent="0.3">
      <c r="A58" s="7"/>
      <c r="B58" s="9" t="s">
        <v>232</v>
      </c>
      <c r="C58" s="9"/>
      <c r="D58" s="10"/>
      <c r="E58" s="10"/>
      <c r="F58" s="10"/>
      <c r="G58" s="10"/>
      <c r="H58" s="10"/>
      <c r="I58" s="10"/>
      <c r="J58" s="10"/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1">
        <v>1</v>
      </c>
    </row>
    <row r="59" spans="1:20" x14ac:dyDescent="0.3">
      <c r="A59" s="7"/>
      <c r="B59" s="9" t="s">
        <v>233</v>
      </c>
      <c r="C59" s="9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>
        <v>1</v>
      </c>
      <c r="T59" s="11">
        <v>1</v>
      </c>
    </row>
    <row r="60" spans="1:20" x14ac:dyDescent="0.3">
      <c r="A60" s="7"/>
      <c r="B60" s="9" t="s">
        <v>234</v>
      </c>
      <c r="C60" s="9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>
        <v>1</v>
      </c>
      <c r="Q60" s="10"/>
      <c r="R60" s="10"/>
      <c r="S60" s="10"/>
      <c r="T60" s="11">
        <v>1</v>
      </c>
    </row>
    <row r="61" spans="1:20" x14ac:dyDescent="0.3">
      <c r="A61" s="7"/>
      <c r="B61" s="9" t="s">
        <v>235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>
        <v>1</v>
      </c>
      <c r="N61" s="10"/>
      <c r="O61" s="10"/>
      <c r="P61" s="10"/>
      <c r="Q61" s="10"/>
      <c r="R61" s="10"/>
      <c r="S61" s="10"/>
      <c r="T61" s="11">
        <v>2</v>
      </c>
    </row>
    <row r="62" spans="1:20" x14ac:dyDescent="0.3">
      <c r="A62" s="7"/>
      <c r="B62" s="9" t="s">
        <v>236</v>
      </c>
      <c r="C62" s="9"/>
      <c r="D62" s="10"/>
      <c r="E62" s="10"/>
      <c r="F62" s="10"/>
      <c r="G62" s="10"/>
      <c r="H62" s="10">
        <v>1</v>
      </c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>
        <v>7</v>
      </c>
      <c r="T62" s="11">
        <v>8</v>
      </c>
    </row>
    <row r="63" spans="1:20" x14ac:dyDescent="0.3">
      <c r="A63" s="7"/>
      <c r="B63" s="9" t="s">
        <v>237</v>
      </c>
      <c r="C63" s="9"/>
      <c r="D63" s="10"/>
      <c r="E63" s="10"/>
      <c r="F63" s="10"/>
      <c r="G63" s="10"/>
      <c r="H63" s="10"/>
      <c r="I63" s="10"/>
      <c r="J63" s="10"/>
      <c r="K63" s="10">
        <v>2</v>
      </c>
      <c r="L63" s="10"/>
      <c r="M63" s="10"/>
      <c r="N63" s="10"/>
      <c r="O63" s="10"/>
      <c r="P63" s="10"/>
      <c r="Q63" s="10"/>
      <c r="R63" s="10"/>
      <c r="S63" s="10"/>
      <c r="T63" s="11">
        <v>2</v>
      </c>
    </row>
    <row r="64" spans="1:20" x14ac:dyDescent="0.3">
      <c r="A64" s="7"/>
      <c r="B64" s="9" t="s">
        <v>238</v>
      </c>
      <c r="C64" s="9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>
        <v>2</v>
      </c>
      <c r="O64" s="10"/>
      <c r="P64" s="10"/>
      <c r="Q64" s="10"/>
      <c r="R64" s="10"/>
      <c r="S64" s="10"/>
      <c r="T64" s="11">
        <v>2</v>
      </c>
    </row>
    <row r="65" spans="1:20" x14ac:dyDescent="0.3">
      <c r="A65" s="7"/>
      <c r="B65" s="9" t="s">
        <v>239</v>
      </c>
      <c r="C65" s="9"/>
      <c r="D65" s="10">
        <v>3</v>
      </c>
      <c r="E65" s="10">
        <v>1.4</v>
      </c>
      <c r="F65" s="10">
        <v>4</v>
      </c>
      <c r="G65" s="10">
        <v>1</v>
      </c>
      <c r="H65" s="10"/>
      <c r="I65" s="10"/>
      <c r="J65" s="10"/>
      <c r="K65" s="10"/>
      <c r="L65" s="10"/>
      <c r="M65" s="10"/>
      <c r="N65" s="10">
        <v>0.8</v>
      </c>
      <c r="O65" s="10"/>
      <c r="P65" s="10">
        <v>2</v>
      </c>
      <c r="Q65" s="10"/>
      <c r="R65" s="10"/>
      <c r="S65" s="10"/>
      <c r="T65" s="11">
        <v>12.2</v>
      </c>
    </row>
    <row r="66" spans="1:20" x14ac:dyDescent="0.3">
      <c r="A66" s="7"/>
      <c r="B66" s="9" t="s">
        <v>240</v>
      </c>
      <c r="C66" s="9"/>
      <c r="D66" s="10">
        <v>3</v>
      </c>
      <c r="E66" s="10"/>
      <c r="F66" s="10"/>
      <c r="G66" s="10"/>
      <c r="H66" s="10"/>
      <c r="I66" s="10"/>
      <c r="J66" s="10"/>
      <c r="K66" s="10"/>
      <c r="L66" s="10"/>
      <c r="M66" s="10"/>
      <c r="N66" s="10">
        <v>1</v>
      </c>
      <c r="O66" s="10"/>
      <c r="P66" s="10"/>
      <c r="Q66" s="10"/>
      <c r="R66" s="10"/>
      <c r="S66" s="10"/>
      <c r="T66" s="11">
        <v>4</v>
      </c>
    </row>
    <row r="67" spans="1:20" x14ac:dyDescent="0.3">
      <c r="A67" s="7"/>
      <c r="B67" s="9" t="s">
        <v>241</v>
      </c>
      <c r="C67" s="9"/>
      <c r="D67" s="10"/>
      <c r="E67" s="10">
        <v>1.75</v>
      </c>
      <c r="F67" s="10"/>
      <c r="G67" s="10"/>
      <c r="H67" s="10"/>
      <c r="I67" s="10"/>
      <c r="J67" s="10"/>
      <c r="K67" s="10"/>
      <c r="L67" s="10"/>
      <c r="M67" s="10"/>
      <c r="N67" s="10">
        <v>2</v>
      </c>
      <c r="O67" s="10"/>
      <c r="P67" s="10"/>
      <c r="Q67" s="10">
        <v>8</v>
      </c>
      <c r="R67" s="10"/>
      <c r="S67" s="10"/>
      <c r="T67" s="11">
        <v>11.75</v>
      </c>
    </row>
    <row r="68" spans="1:20" x14ac:dyDescent="0.3">
      <c r="A68" s="7"/>
      <c r="B68" s="9" t="s">
        <v>242</v>
      </c>
      <c r="C68" s="9"/>
      <c r="D68" s="10"/>
      <c r="E68" s="10"/>
      <c r="F68" s="10"/>
      <c r="G68" s="10"/>
      <c r="H68" s="10">
        <v>1</v>
      </c>
      <c r="I68" s="10"/>
      <c r="J68" s="10"/>
      <c r="K68" s="10">
        <v>1</v>
      </c>
      <c r="L68" s="10"/>
      <c r="M68" s="10"/>
      <c r="N68" s="10"/>
      <c r="O68" s="10"/>
      <c r="P68" s="10"/>
      <c r="Q68" s="10"/>
      <c r="R68" s="10"/>
      <c r="S68" s="10"/>
      <c r="T68" s="11">
        <v>2</v>
      </c>
    </row>
    <row r="69" spans="1:20" x14ac:dyDescent="0.3">
      <c r="A69" s="7"/>
      <c r="B69" s="9" t="s">
        <v>243</v>
      </c>
      <c r="C69" s="9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>
        <v>11</v>
      </c>
      <c r="R69" s="10"/>
      <c r="S69" s="10"/>
      <c r="T69" s="11">
        <v>11</v>
      </c>
    </row>
    <row r="70" spans="1:20" x14ac:dyDescent="0.3">
      <c r="A70" s="7"/>
      <c r="B70" s="9" t="s">
        <v>244</v>
      </c>
      <c r="C70" s="9">
        <v>2</v>
      </c>
      <c r="D70" s="10">
        <v>2</v>
      </c>
      <c r="E70" s="10"/>
      <c r="F70" s="10">
        <v>2</v>
      </c>
      <c r="G70" s="10">
        <v>1</v>
      </c>
      <c r="H70" s="10">
        <v>1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>
        <v>4</v>
      </c>
      <c r="T70" s="11">
        <v>12</v>
      </c>
    </row>
    <row r="71" spans="1:20" x14ac:dyDescent="0.3">
      <c r="A71" s="7"/>
      <c r="B71" s="9" t="s">
        <v>245</v>
      </c>
      <c r="C71" s="9"/>
      <c r="D71" s="10">
        <v>5</v>
      </c>
      <c r="E71" s="10"/>
      <c r="F71" s="10"/>
      <c r="G71" s="10"/>
      <c r="H71" s="10">
        <v>2</v>
      </c>
      <c r="I71" s="10"/>
      <c r="J71" s="10"/>
      <c r="K71" s="10">
        <v>5</v>
      </c>
      <c r="L71" s="10"/>
      <c r="M71" s="10"/>
      <c r="N71" s="10"/>
      <c r="O71" s="10"/>
      <c r="P71" s="10"/>
      <c r="Q71" s="10"/>
      <c r="R71" s="10"/>
      <c r="S71" s="10">
        <v>4</v>
      </c>
      <c r="T71" s="11">
        <v>16</v>
      </c>
    </row>
    <row r="72" spans="1:20" x14ac:dyDescent="0.3">
      <c r="A72" s="7"/>
      <c r="B72" s="9" t="s">
        <v>246</v>
      </c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>
        <v>7</v>
      </c>
      <c r="O72" s="10"/>
      <c r="P72" s="10"/>
      <c r="Q72" s="10"/>
      <c r="R72" s="10"/>
      <c r="S72" s="10"/>
      <c r="T72" s="11">
        <v>7</v>
      </c>
    </row>
    <row r="73" spans="1:20" x14ac:dyDescent="0.3">
      <c r="A73" s="7"/>
      <c r="B73" s="9" t="s">
        <v>247</v>
      </c>
      <c r="C73" s="9"/>
      <c r="D73" s="10"/>
      <c r="E73" s="10"/>
      <c r="F73" s="10"/>
      <c r="G73" s="10"/>
      <c r="H73" s="10">
        <v>1</v>
      </c>
      <c r="I73" s="10"/>
      <c r="J73" s="10"/>
      <c r="K73" s="10">
        <v>1</v>
      </c>
      <c r="L73" s="10"/>
      <c r="M73" s="10"/>
      <c r="N73" s="10"/>
      <c r="O73" s="10"/>
      <c r="P73" s="10"/>
      <c r="Q73" s="10"/>
      <c r="R73" s="10"/>
      <c r="S73" s="10"/>
      <c r="T73" s="11">
        <v>2</v>
      </c>
    </row>
    <row r="74" spans="1:20" x14ac:dyDescent="0.3">
      <c r="A74" s="7"/>
      <c r="B74" s="9" t="s">
        <v>248</v>
      </c>
      <c r="C74" s="9"/>
      <c r="D74" s="10"/>
      <c r="E74" s="10"/>
      <c r="F74" s="10"/>
      <c r="G74" s="10">
        <v>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1">
        <v>1</v>
      </c>
    </row>
    <row r="75" spans="1:20" x14ac:dyDescent="0.3">
      <c r="A75" s="7"/>
      <c r="B75" s="9" t="s">
        <v>249</v>
      </c>
      <c r="C75" s="9"/>
      <c r="D75" s="10"/>
      <c r="E75" s="10"/>
      <c r="F75" s="10"/>
      <c r="G75" s="10"/>
      <c r="H75" s="10">
        <v>1</v>
      </c>
      <c r="I75" s="10"/>
      <c r="J75" s="10"/>
      <c r="K75" s="10"/>
      <c r="L75" s="10">
        <v>0.5</v>
      </c>
      <c r="M75" s="10"/>
      <c r="N75" s="10"/>
      <c r="O75" s="10"/>
      <c r="P75" s="10"/>
      <c r="Q75" s="10"/>
      <c r="R75" s="10"/>
      <c r="S75" s="10"/>
      <c r="T75" s="11">
        <v>1.5</v>
      </c>
    </row>
    <row r="76" spans="1:20" x14ac:dyDescent="0.3">
      <c r="A76" s="7"/>
      <c r="B76" s="9" t="s">
        <v>250</v>
      </c>
      <c r="C76" s="9"/>
      <c r="D76" s="10"/>
      <c r="E76" s="10"/>
      <c r="F76" s="10"/>
      <c r="G76" s="10"/>
      <c r="H76" s="10">
        <v>2</v>
      </c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1">
        <v>2</v>
      </c>
    </row>
    <row r="77" spans="1:20" x14ac:dyDescent="0.3">
      <c r="A77" s="7"/>
      <c r="B77" s="9" t="s">
        <v>251</v>
      </c>
      <c r="C77" s="9"/>
      <c r="D77" s="10"/>
      <c r="E77" s="10"/>
      <c r="F77" s="10"/>
      <c r="G77" s="10"/>
      <c r="H77" s="10">
        <v>2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1">
        <v>2</v>
      </c>
    </row>
    <row r="78" spans="1:20" x14ac:dyDescent="0.3">
      <c r="A78" s="7"/>
      <c r="B78" s="9" t="s">
        <v>252</v>
      </c>
      <c r="C78" s="9"/>
      <c r="D78" s="10">
        <v>1</v>
      </c>
      <c r="E78" s="10"/>
      <c r="F78" s="10">
        <v>1</v>
      </c>
      <c r="G78" s="10">
        <v>4</v>
      </c>
      <c r="H78" s="10">
        <v>2</v>
      </c>
      <c r="I78" s="10"/>
      <c r="J78" s="10"/>
      <c r="K78" s="10"/>
      <c r="L78" s="10"/>
      <c r="M78" s="10"/>
      <c r="N78" s="10"/>
      <c r="O78" s="10"/>
      <c r="P78" s="10">
        <v>1</v>
      </c>
      <c r="Q78" s="10"/>
      <c r="R78" s="10"/>
      <c r="S78" s="10"/>
      <c r="T78" s="11">
        <v>9</v>
      </c>
    </row>
    <row r="79" spans="1:20" x14ac:dyDescent="0.3">
      <c r="A79" s="7"/>
      <c r="B79" s="9" t="s">
        <v>253</v>
      </c>
      <c r="C79" s="9"/>
      <c r="D79" s="10"/>
      <c r="E79" s="10"/>
      <c r="F79" s="10"/>
      <c r="G79" s="10"/>
      <c r="H79" s="10">
        <v>2</v>
      </c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1">
        <v>2</v>
      </c>
    </row>
    <row r="80" spans="1:20" x14ac:dyDescent="0.3">
      <c r="A80" s="7"/>
      <c r="B80" s="9" t="s">
        <v>254</v>
      </c>
      <c r="C80" s="9">
        <v>1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1">
        <v>1</v>
      </c>
    </row>
    <row r="81" spans="1:20" x14ac:dyDescent="0.3">
      <c r="A81" s="7"/>
      <c r="B81" s="9" t="s">
        <v>255</v>
      </c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>
        <v>4</v>
      </c>
      <c r="P81" s="10"/>
      <c r="Q81" s="10"/>
      <c r="R81" s="10"/>
      <c r="S81" s="10"/>
      <c r="T81" s="11">
        <v>4</v>
      </c>
    </row>
    <row r="82" spans="1:20" x14ac:dyDescent="0.3">
      <c r="A82" s="7"/>
      <c r="B82" s="9" t="s">
        <v>256</v>
      </c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>
        <v>5</v>
      </c>
      <c r="P82" s="10"/>
      <c r="Q82" s="10"/>
      <c r="R82" s="10"/>
      <c r="S82" s="10"/>
      <c r="T82" s="11">
        <v>5</v>
      </c>
    </row>
    <row r="83" spans="1:20" x14ac:dyDescent="0.3">
      <c r="A83" s="7"/>
      <c r="B83" s="9" t="s">
        <v>257</v>
      </c>
      <c r="C83" s="9">
        <v>6</v>
      </c>
      <c r="D83" s="10"/>
      <c r="E83" s="10">
        <v>1.25</v>
      </c>
      <c r="F83" s="10">
        <v>0.1</v>
      </c>
      <c r="G83" s="10"/>
      <c r="H83" s="10">
        <v>4</v>
      </c>
      <c r="I83" s="10"/>
      <c r="J83" s="10"/>
      <c r="K83" s="10"/>
      <c r="L83" s="10"/>
      <c r="M83" s="10">
        <v>1</v>
      </c>
      <c r="N83" s="10">
        <v>0.4</v>
      </c>
      <c r="O83" s="10"/>
      <c r="P83" s="10"/>
      <c r="Q83" s="10"/>
      <c r="R83" s="10"/>
      <c r="S83" s="10"/>
      <c r="T83" s="11">
        <v>12.75</v>
      </c>
    </row>
    <row r="84" spans="1:20" x14ac:dyDescent="0.3">
      <c r="A84" s="7"/>
      <c r="B84" s="9" t="s">
        <v>258</v>
      </c>
      <c r="C84" s="9">
        <v>0.5</v>
      </c>
      <c r="D84" s="10"/>
      <c r="E84" s="10"/>
      <c r="F84" s="10"/>
      <c r="G84" s="10">
        <v>2</v>
      </c>
      <c r="H84" s="10"/>
      <c r="I84" s="10"/>
      <c r="J84" s="10"/>
      <c r="K84" s="10"/>
      <c r="L84" s="10"/>
      <c r="M84" s="10"/>
      <c r="N84" s="10"/>
      <c r="O84" s="10"/>
      <c r="P84" s="10">
        <v>0.5</v>
      </c>
      <c r="Q84" s="10">
        <v>7</v>
      </c>
      <c r="R84" s="10"/>
      <c r="S84" s="10"/>
      <c r="T84" s="11">
        <v>10</v>
      </c>
    </row>
    <row r="85" spans="1:20" x14ac:dyDescent="0.3">
      <c r="A85" s="7"/>
      <c r="B85" s="9" t="s">
        <v>259</v>
      </c>
      <c r="C85" s="9">
        <v>2.75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>
        <v>0.5</v>
      </c>
      <c r="Q85" s="10">
        <v>2.75</v>
      </c>
      <c r="R85" s="10">
        <v>0.5</v>
      </c>
      <c r="S85" s="10"/>
      <c r="T85" s="11">
        <v>6.5</v>
      </c>
    </row>
    <row r="86" spans="1:20" x14ac:dyDescent="0.3">
      <c r="A86" s="7"/>
      <c r="B86" s="9" t="s">
        <v>260</v>
      </c>
      <c r="C86" s="9"/>
      <c r="D86" s="10"/>
      <c r="E86" s="10"/>
      <c r="F86" s="10"/>
      <c r="G86" s="10"/>
      <c r="H86" s="10">
        <v>1</v>
      </c>
      <c r="I86" s="10"/>
      <c r="J86" s="10"/>
      <c r="K86" s="10"/>
      <c r="L86" s="10"/>
      <c r="M86" s="10">
        <v>2</v>
      </c>
      <c r="N86" s="10"/>
      <c r="O86" s="10"/>
      <c r="P86" s="10"/>
      <c r="Q86" s="10"/>
      <c r="R86" s="10"/>
      <c r="S86" s="10"/>
      <c r="T86" s="11">
        <v>3</v>
      </c>
    </row>
    <row r="87" spans="1:20" x14ac:dyDescent="0.3">
      <c r="A87" s="7"/>
      <c r="B87" s="9" t="s">
        <v>261</v>
      </c>
      <c r="C87" s="9">
        <v>0.5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1">
        <v>0.5</v>
      </c>
    </row>
    <row r="88" spans="1:20" x14ac:dyDescent="0.3">
      <c r="A88" s="7"/>
      <c r="B88" s="9" t="s">
        <v>262</v>
      </c>
      <c r="C88" s="9"/>
      <c r="D88" s="10"/>
      <c r="E88" s="10"/>
      <c r="F88" s="10"/>
      <c r="G88" s="10"/>
      <c r="H88" s="10">
        <v>5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>
        <v>4</v>
      </c>
      <c r="T88" s="11">
        <v>9</v>
      </c>
    </row>
    <row r="89" spans="1:20" x14ac:dyDescent="0.3">
      <c r="A89" s="7"/>
      <c r="B89" s="9" t="s">
        <v>263</v>
      </c>
      <c r="C89" s="9">
        <v>5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1">
        <v>5</v>
      </c>
    </row>
    <row r="90" spans="1:20" x14ac:dyDescent="0.3">
      <c r="A90" s="7"/>
      <c r="B90" s="9" t="s">
        <v>264</v>
      </c>
      <c r="C90" s="9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>
        <v>3</v>
      </c>
      <c r="T90" s="11">
        <v>3</v>
      </c>
    </row>
    <row r="91" spans="1:20" x14ac:dyDescent="0.3">
      <c r="A91" s="7"/>
      <c r="B91" s="9" t="s">
        <v>265</v>
      </c>
      <c r="C91" s="9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>
        <v>4</v>
      </c>
      <c r="T91" s="11">
        <v>4</v>
      </c>
    </row>
    <row r="92" spans="1:20" x14ac:dyDescent="0.3">
      <c r="A92" s="7"/>
      <c r="B92" s="9" t="s">
        <v>266</v>
      </c>
      <c r="C92" s="9">
        <v>6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1">
        <v>6</v>
      </c>
    </row>
    <row r="93" spans="1:20" x14ac:dyDescent="0.3">
      <c r="A93" s="7"/>
      <c r="B93" s="9" t="s">
        <v>267</v>
      </c>
      <c r="C93" s="9"/>
      <c r="D93" s="10"/>
      <c r="E93" s="10"/>
      <c r="F93" s="10">
        <v>1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1">
        <v>1</v>
      </c>
    </row>
    <row r="94" spans="1:20" x14ac:dyDescent="0.3">
      <c r="A94" s="7"/>
      <c r="B94" s="9" t="s">
        <v>268</v>
      </c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>
        <v>2</v>
      </c>
      <c r="R94" s="10"/>
      <c r="S94" s="10"/>
      <c r="T94" s="11">
        <v>2</v>
      </c>
    </row>
    <row r="95" spans="1:20" x14ac:dyDescent="0.3">
      <c r="A95" s="7"/>
      <c r="B95" s="9" t="s">
        <v>269</v>
      </c>
      <c r="C95" s="9">
        <v>7.25</v>
      </c>
      <c r="D95" s="10"/>
      <c r="E95" s="10"/>
      <c r="F95" s="10"/>
      <c r="G95" s="10"/>
      <c r="H95" s="10">
        <v>11.5</v>
      </c>
      <c r="I95" s="10"/>
      <c r="J95" s="10"/>
      <c r="K95" s="10">
        <v>1.25</v>
      </c>
      <c r="L95" s="10"/>
      <c r="M95" s="10"/>
      <c r="N95" s="10"/>
      <c r="O95" s="10"/>
      <c r="P95" s="10"/>
      <c r="Q95" s="10"/>
      <c r="R95" s="10"/>
      <c r="S95" s="10"/>
      <c r="T95" s="11">
        <v>20</v>
      </c>
    </row>
    <row r="96" spans="1:20" x14ac:dyDescent="0.3">
      <c r="A96" s="7"/>
      <c r="B96" s="9" t="s">
        <v>270</v>
      </c>
      <c r="C96" s="9">
        <v>2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1">
        <v>2</v>
      </c>
    </row>
    <row r="97" spans="1:20" x14ac:dyDescent="0.3">
      <c r="A97" s="7"/>
      <c r="B97" s="9" t="s">
        <v>271</v>
      </c>
      <c r="C97" s="9">
        <v>0.25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1">
        <v>0.25</v>
      </c>
    </row>
    <row r="98" spans="1:20" x14ac:dyDescent="0.3">
      <c r="A98" s="7"/>
      <c r="B98" s="9" t="s">
        <v>272</v>
      </c>
      <c r="C98" s="9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>
        <v>4</v>
      </c>
      <c r="R98" s="10"/>
      <c r="S98" s="10"/>
      <c r="T98" s="11">
        <v>4</v>
      </c>
    </row>
    <row r="99" spans="1:20" x14ac:dyDescent="0.3">
      <c r="A99" s="7"/>
      <c r="B99" s="9" t="s">
        <v>273</v>
      </c>
      <c r="C99" s="9">
        <v>2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1">
        <v>2</v>
      </c>
    </row>
    <row r="100" spans="1:20" x14ac:dyDescent="0.3">
      <c r="A100" s="7"/>
      <c r="B100" s="9" t="s">
        <v>274</v>
      </c>
      <c r="C100" s="9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>
        <v>1</v>
      </c>
      <c r="T100" s="11">
        <v>1</v>
      </c>
    </row>
    <row r="101" spans="1:20" x14ac:dyDescent="0.3">
      <c r="A101" s="7"/>
      <c r="B101" s="9" t="s">
        <v>275</v>
      </c>
      <c r="C101" s="9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>
        <v>2</v>
      </c>
      <c r="R101" s="10"/>
      <c r="S101" s="10"/>
      <c r="T101" s="11">
        <v>2</v>
      </c>
    </row>
    <row r="102" spans="1:20" x14ac:dyDescent="0.3">
      <c r="A102" s="7"/>
      <c r="B102" s="9" t="s">
        <v>276</v>
      </c>
      <c r="C102" s="9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>
        <v>1</v>
      </c>
      <c r="R102" s="10"/>
      <c r="S102" s="10"/>
      <c r="T102" s="11">
        <v>1</v>
      </c>
    </row>
    <row r="103" spans="1:20" x14ac:dyDescent="0.3">
      <c r="A103" s="7"/>
      <c r="B103" s="9" t="s">
        <v>277</v>
      </c>
      <c r="C103" s="9"/>
      <c r="D103" s="10"/>
      <c r="E103" s="10">
        <v>1</v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1">
        <v>1</v>
      </c>
    </row>
    <row r="104" spans="1:20" x14ac:dyDescent="0.3">
      <c r="A104" s="7"/>
      <c r="B104" s="9" t="s">
        <v>278</v>
      </c>
      <c r="C104" s="9"/>
      <c r="D104" s="10">
        <v>1.2</v>
      </c>
      <c r="E104" s="10"/>
      <c r="F104" s="10">
        <v>1.5</v>
      </c>
      <c r="G104" s="10">
        <v>1</v>
      </c>
      <c r="H104" s="10">
        <v>1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>
        <v>1</v>
      </c>
      <c r="T104" s="11">
        <v>5.7</v>
      </c>
    </row>
    <row r="105" spans="1:20" x14ac:dyDescent="0.3">
      <c r="A105" s="7"/>
      <c r="B105" s="9" t="s">
        <v>279</v>
      </c>
      <c r="C105" s="9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>
        <v>1</v>
      </c>
      <c r="R105" s="10"/>
      <c r="S105" s="10"/>
      <c r="T105" s="11">
        <v>1</v>
      </c>
    </row>
    <row r="106" spans="1:20" x14ac:dyDescent="0.3">
      <c r="A106" s="7"/>
      <c r="B106" s="9" t="s">
        <v>280</v>
      </c>
      <c r="C106" s="9">
        <v>2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1">
        <v>2</v>
      </c>
    </row>
    <row r="107" spans="1:20" x14ac:dyDescent="0.3">
      <c r="A107" s="7"/>
      <c r="B107" s="9" t="s">
        <v>281</v>
      </c>
      <c r="C107" s="9">
        <v>0.5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1">
        <v>0.5</v>
      </c>
    </row>
    <row r="108" spans="1:20" x14ac:dyDescent="0.3">
      <c r="A108" s="7"/>
      <c r="B108" s="9" t="s">
        <v>282</v>
      </c>
      <c r="C108" s="9"/>
      <c r="D108" s="10"/>
      <c r="E108" s="10"/>
      <c r="F108" s="10"/>
      <c r="G108" s="10"/>
      <c r="H108" s="10">
        <v>0.25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1">
        <v>0.25</v>
      </c>
    </row>
    <row r="109" spans="1:20" x14ac:dyDescent="0.3">
      <c r="A109" s="7"/>
      <c r="B109" s="9" t="s">
        <v>283</v>
      </c>
      <c r="C109" s="9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>
        <v>2</v>
      </c>
      <c r="R109" s="10"/>
      <c r="S109" s="10">
        <v>0.5</v>
      </c>
      <c r="T109" s="11">
        <v>2.5</v>
      </c>
    </row>
    <row r="110" spans="1:20" x14ac:dyDescent="0.3">
      <c r="A110" s="7"/>
      <c r="B110" s="9" t="s">
        <v>284</v>
      </c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>
        <v>1</v>
      </c>
      <c r="P110" s="10"/>
      <c r="Q110" s="10"/>
      <c r="R110" s="10"/>
      <c r="S110" s="10"/>
      <c r="T110" s="11">
        <v>1</v>
      </c>
    </row>
    <row r="111" spans="1:20" x14ac:dyDescent="0.3">
      <c r="A111" s="7"/>
      <c r="B111" s="9" t="s">
        <v>285</v>
      </c>
      <c r="C111" s="9"/>
      <c r="D111" s="10">
        <v>1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>
        <v>2</v>
      </c>
      <c r="R111" s="10"/>
      <c r="S111" s="10">
        <v>1</v>
      </c>
      <c r="T111" s="11">
        <v>4</v>
      </c>
    </row>
    <row r="112" spans="1:20" x14ac:dyDescent="0.3">
      <c r="A112" s="7"/>
      <c r="B112" s="9" t="s">
        <v>286</v>
      </c>
      <c r="C112" s="9"/>
      <c r="D112" s="10">
        <v>1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1">
        <v>1</v>
      </c>
    </row>
    <row r="113" spans="1:20" x14ac:dyDescent="0.3">
      <c r="A113" s="7"/>
      <c r="B113" s="9" t="s">
        <v>287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>
        <v>1</v>
      </c>
      <c r="P113" s="10"/>
      <c r="Q113" s="10"/>
      <c r="R113" s="10"/>
      <c r="S113" s="10"/>
      <c r="T113" s="11">
        <v>1</v>
      </c>
    </row>
    <row r="114" spans="1:20" x14ac:dyDescent="0.3">
      <c r="A114" s="7"/>
      <c r="B114" s="8" t="s">
        <v>288</v>
      </c>
      <c r="C114" s="9">
        <v>3</v>
      </c>
      <c r="D114" s="10"/>
      <c r="E114" s="10">
        <v>0.75</v>
      </c>
      <c r="F114" s="10"/>
      <c r="G114" s="10">
        <v>3.25</v>
      </c>
      <c r="H114" s="10">
        <v>3</v>
      </c>
      <c r="I114" s="10"/>
      <c r="J114" s="10"/>
      <c r="K114" s="10">
        <v>1</v>
      </c>
      <c r="L114" s="10"/>
      <c r="M114" s="10"/>
      <c r="N114" s="10">
        <v>0.25</v>
      </c>
      <c r="O114" s="10"/>
      <c r="P114" s="10">
        <v>1</v>
      </c>
      <c r="Q114" s="10"/>
      <c r="R114" s="10"/>
      <c r="S114" s="10">
        <v>1</v>
      </c>
      <c r="T114" s="11">
        <v>13.25</v>
      </c>
    </row>
    <row r="115" spans="1:20" x14ac:dyDescent="0.3">
      <c r="A115" s="7"/>
      <c r="B115" s="9" t="s">
        <v>289</v>
      </c>
      <c r="C115" s="9">
        <v>2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1">
        <v>2</v>
      </c>
    </row>
    <row r="116" spans="1:20" x14ac:dyDescent="0.3">
      <c r="A116" s="7"/>
      <c r="B116" s="9" t="s">
        <v>290</v>
      </c>
      <c r="C116" s="9"/>
      <c r="D116" s="10"/>
      <c r="E116" s="10"/>
      <c r="F116" s="10"/>
      <c r="G116" s="10">
        <v>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1">
        <v>1</v>
      </c>
    </row>
    <row r="117" spans="1:20" x14ac:dyDescent="0.3">
      <c r="A117" s="7"/>
      <c r="B117" s="9" t="s">
        <v>291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>
        <v>0.5</v>
      </c>
      <c r="P117" s="10"/>
      <c r="Q117" s="10"/>
      <c r="R117" s="10"/>
      <c r="S117" s="10"/>
      <c r="T117" s="11">
        <v>0.5</v>
      </c>
    </row>
    <row r="118" spans="1:20" x14ac:dyDescent="0.3">
      <c r="A118" s="7"/>
      <c r="B118" s="9" t="s">
        <v>292</v>
      </c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>
        <v>2</v>
      </c>
      <c r="P118" s="10"/>
      <c r="Q118" s="10"/>
      <c r="R118" s="10"/>
      <c r="S118" s="10"/>
      <c r="T118" s="11">
        <v>2</v>
      </c>
    </row>
    <row r="119" spans="1:20" x14ac:dyDescent="0.3">
      <c r="A119" s="7"/>
      <c r="B119" s="9" t="s">
        <v>293</v>
      </c>
      <c r="C119" s="9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>
        <v>5</v>
      </c>
      <c r="R119" s="10"/>
      <c r="S119" s="10"/>
      <c r="T119" s="11">
        <v>5</v>
      </c>
    </row>
    <row r="120" spans="1:20" x14ac:dyDescent="0.3">
      <c r="A120" s="7"/>
      <c r="B120" s="9" t="s">
        <v>294</v>
      </c>
      <c r="C120" s="9"/>
      <c r="D120" s="10"/>
      <c r="E120" s="10"/>
      <c r="F120" s="10"/>
      <c r="G120" s="10"/>
      <c r="H120" s="10"/>
      <c r="I120" s="10">
        <v>1</v>
      </c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1">
        <v>1</v>
      </c>
    </row>
    <row r="121" spans="1:20" x14ac:dyDescent="0.3">
      <c r="A121" s="7"/>
      <c r="B121" s="9" t="s">
        <v>295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>
        <v>0.5</v>
      </c>
      <c r="P121" s="10"/>
      <c r="Q121" s="10"/>
      <c r="R121" s="10"/>
      <c r="S121" s="10"/>
      <c r="T121" s="11">
        <v>0.5</v>
      </c>
    </row>
    <row r="122" spans="1:20" x14ac:dyDescent="0.3">
      <c r="A122" s="7"/>
      <c r="B122" s="9" t="s">
        <v>296</v>
      </c>
      <c r="C122" s="9"/>
      <c r="D122" s="10"/>
      <c r="E122" s="10"/>
      <c r="F122" s="10"/>
      <c r="G122" s="10"/>
      <c r="H122" s="10">
        <v>3</v>
      </c>
      <c r="I122" s="10"/>
      <c r="J122" s="10"/>
      <c r="K122" s="10"/>
      <c r="L122" s="10"/>
      <c r="M122" s="10"/>
      <c r="N122" s="10"/>
      <c r="O122" s="10"/>
      <c r="P122" s="10"/>
      <c r="Q122" s="10">
        <v>1</v>
      </c>
      <c r="R122" s="10"/>
      <c r="S122" s="10">
        <v>1</v>
      </c>
      <c r="T122" s="11">
        <v>5</v>
      </c>
    </row>
    <row r="123" spans="1:20" x14ac:dyDescent="0.3">
      <c r="A123" s="7"/>
      <c r="B123" s="9" t="s">
        <v>297</v>
      </c>
      <c r="C123" s="9"/>
      <c r="D123" s="10"/>
      <c r="E123" s="10"/>
      <c r="F123" s="10"/>
      <c r="G123" s="10"/>
      <c r="H123" s="10">
        <v>1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1">
        <v>1</v>
      </c>
    </row>
    <row r="124" spans="1:20" x14ac:dyDescent="0.3">
      <c r="A124" s="7"/>
      <c r="B124" s="9" t="s">
        <v>298</v>
      </c>
      <c r="C124" s="9"/>
      <c r="D124" s="10"/>
      <c r="E124" s="10"/>
      <c r="F124" s="10"/>
      <c r="G124" s="10"/>
      <c r="H124" s="10">
        <v>1</v>
      </c>
      <c r="I124" s="10">
        <v>1</v>
      </c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1">
        <v>2</v>
      </c>
    </row>
    <row r="125" spans="1:20" x14ac:dyDescent="0.3">
      <c r="A125" s="7"/>
      <c r="B125" s="9" t="s">
        <v>299</v>
      </c>
      <c r="C125" s="9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>
        <v>1</v>
      </c>
      <c r="P125" s="10"/>
      <c r="Q125" s="10"/>
      <c r="R125" s="10"/>
      <c r="S125" s="10"/>
      <c r="T125" s="11">
        <v>1</v>
      </c>
    </row>
    <row r="126" spans="1:20" x14ac:dyDescent="0.3">
      <c r="A126" s="7"/>
      <c r="B126" s="9" t="s">
        <v>300</v>
      </c>
      <c r="C126" s="9"/>
      <c r="D126" s="10">
        <v>2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>
        <v>1</v>
      </c>
      <c r="R126" s="10"/>
      <c r="S126" s="10"/>
      <c r="T126" s="11">
        <v>3</v>
      </c>
    </row>
    <row r="127" spans="1:20" x14ac:dyDescent="0.3">
      <c r="A127" s="7"/>
      <c r="B127" s="9" t="s">
        <v>301</v>
      </c>
      <c r="C127" s="9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>
        <v>1</v>
      </c>
      <c r="R127" s="10"/>
      <c r="S127" s="10"/>
      <c r="T127" s="11">
        <v>1</v>
      </c>
    </row>
    <row r="128" spans="1:20" x14ac:dyDescent="0.3">
      <c r="A128" s="7"/>
      <c r="B128" s="9" t="s">
        <v>302</v>
      </c>
      <c r="C128" s="9"/>
      <c r="D128" s="10"/>
      <c r="E128" s="10"/>
      <c r="F128" s="10"/>
      <c r="G128" s="10"/>
      <c r="H128" s="10">
        <v>1</v>
      </c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1">
        <v>1</v>
      </c>
    </row>
    <row r="129" spans="1:20" x14ac:dyDescent="0.3">
      <c r="A129" s="7"/>
      <c r="B129" s="9" t="s">
        <v>303</v>
      </c>
      <c r="C129" s="9"/>
      <c r="D129" s="10"/>
      <c r="E129" s="10"/>
      <c r="F129" s="10"/>
      <c r="G129" s="10">
        <v>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1">
        <v>2</v>
      </c>
    </row>
    <row r="130" spans="1:20" x14ac:dyDescent="0.3">
      <c r="A130" s="7"/>
      <c r="B130" s="9" t="s">
        <v>304</v>
      </c>
      <c r="C130" s="9"/>
      <c r="D130" s="10"/>
      <c r="E130" s="10"/>
      <c r="F130" s="10"/>
      <c r="G130" s="10"/>
      <c r="H130" s="10">
        <v>1</v>
      </c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1">
        <v>1</v>
      </c>
    </row>
    <row r="131" spans="1:20" x14ac:dyDescent="0.3">
      <c r="A131" s="7"/>
      <c r="B131" s="9" t="s">
        <v>305</v>
      </c>
      <c r="C131" s="9"/>
      <c r="D131" s="10"/>
      <c r="E131" s="10">
        <v>2</v>
      </c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1">
        <v>2</v>
      </c>
    </row>
    <row r="132" spans="1:20" x14ac:dyDescent="0.3">
      <c r="A132" s="7"/>
      <c r="B132" s="9" t="s">
        <v>306</v>
      </c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>
        <v>16</v>
      </c>
      <c r="R132" s="10"/>
      <c r="S132" s="10"/>
      <c r="T132" s="11">
        <v>16</v>
      </c>
    </row>
    <row r="133" spans="1:20" x14ac:dyDescent="0.3">
      <c r="A133" s="7"/>
      <c r="B133" s="9" t="s">
        <v>307</v>
      </c>
      <c r="C133" s="9"/>
      <c r="D133" s="10"/>
      <c r="E133" s="10"/>
      <c r="F133" s="10">
        <v>0.3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1">
        <v>0.3</v>
      </c>
    </row>
    <row r="134" spans="1:20" x14ac:dyDescent="0.3">
      <c r="A134" s="7"/>
      <c r="B134" s="9" t="s">
        <v>308</v>
      </c>
      <c r="C134" s="9"/>
      <c r="D134" s="10">
        <v>0.5</v>
      </c>
      <c r="E134" s="10"/>
      <c r="F134" s="10"/>
      <c r="G134" s="10">
        <v>0.25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1">
        <v>0.75</v>
      </c>
    </row>
    <row r="135" spans="1:20" x14ac:dyDescent="0.3">
      <c r="A135" s="7"/>
      <c r="B135" s="9" t="s">
        <v>309</v>
      </c>
      <c r="C135" s="9"/>
      <c r="D135" s="10"/>
      <c r="E135" s="10"/>
      <c r="F135" s="10">
        <v>1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1">
        <v>1</v>
      </c>
    </row>
    <row r="136" spans="1:20" x14ac:dyDescent="0.3">
      <c r="A136" s="7"/>
      <c r="B136" s="9" t="s">
        <v>310</v>
      </c>
      <c r="C136" s="9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>
        <v>1</v>
      </c>
      <c r="O136" s="10"/>
      <c r="P136" s="10"/>
      <c r="Q136" s="10"/>
      <c r="R136" s="10"/>
      <c r="S136" s="10"/>
      <c r="T136" s="11">
        <v>1</v>
      </c>
    </row>
    <row r="137" spans="1:20" x14ac:dyDescent="0.3">
      <c r="A137" s="7"/>
      <c r="B137" s="9" t="s">
        <v>311</v>
      </c>
      <c r="C137" s="9"/>
      <c r="D137" s="10"/>
      <c r="E137" s="10"/>
      <c r="F137" s="10"/>
      <c r="G137" s="10">
        <v>0.1</v>
      </c>
      <c r="H137" s="10"/>
      <c r="I137" s="10"/>
      <c r="J137" s="10"/>
      <c r="K137" s="10"/>
      <c r="L137" s="10"/>
      <c r="M137" s="10"/>
      <c r="N137" s="10">
        <v>0.15</v>
      </c>
      <c r="O137" s="10"/>
      <c r="P137" s="10"/>
      <c r="Q137" s="10"/>
      <c r="R137" s="10"/>
      <c r="S137" s="10"/>
      <c r="T137" s="11">
        <v>0.25</v>
      </c>
    </row>
    <row r="138" spans="1:20" x14ac:dyDescent="0.3">
      <c r="A138" s="7"/>
      <c r="B138" s="9" t="s">
        <v>312</v>
      </c>
      <c r="C138" s="9"/>
      <c r="D138" s="10"/>
      <c r="E138" s="10">
        <v>0.2</v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1">
        <v>0.2</v>
      </c>
    </row>
    <row r="139" spans="1:20" x14ac:dyDescent="0.3">
      <c r="A139" s="7"/>
      <c r="B139" s="9" t="s">
        <v>313</v>
      </c>
      <c r="C139" s="9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>
        <v>1</v>
      </c>
      <c r="P139" s="10"/>
      <c r="Q139" s="10"/>
      <c r="R139" s="10"/>
      <c r="S139" s="10"/>
      <c r="T139" s="11">
        <v>1</v>
      </c>
    </row>
    <row r="140" spans="1:20" x14ac:dyDescent="0.3">
      <c r="A140" s="7"/>
      <c r="B140" s="9" t="s">
        <v>314</v>
      </c>
      <c r="C140" s="9"/>
      <c r="D140" s="10"/>
      <c r="E140" s="10">
        <v>0.25</v>
      </c>
      <c r="F140" s="10"/>
      <c r="G140" s="10"/>
      <c r="H140" s="10"/>
      <c r="I140" s="10"/>
      <c r="J140" s="10"/>
      <c r="K140" s="10"/>
      <c r="L140" s="10"/>
      <c r="M140" s="10"/>
      <c r="N140" s="10">
        <v>0.75</v>
      </c>
      <c r="O140" s="10"/>
      <c r="P140" s="10"/>
      <c r="Q140" s="10"/>
      <c r="R140" s="10"/>
      <c r="S140" s="10"/>
      <c r="T140" s="11">
        <v>1</v>
      </c>
    </row>
    <row r="141" spans="1:20" x14ac:dyDescent="0.3">
      <c r="A141" s="7"/>
      <c r="B141" s="9" t="s">
        <v>315</v>
      </c>
      <c r="C141" s="9"/>
      <c r="D141" s="10"/>
      <c r="E141" s="10"/>
      <c r="F141" s="10"/>
      <c r="G141" s="10"/>
      <c r="H141" s="10">
        <v>1</v>
      </c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1">
        <v>1</v>
      </c>
    </row>
    <row r="142" spans="1:20" x14ac:dyDescent="0.3">
      <c r="A142" s="7"/>
      <c r="B142" s="9" t="s">
        <v>316</v>
      </c>
      <c r="C142" s="9"/>
      <c r="D142" s="10"/>
      <c r="E142" s="10"/>
      <c r="F142" s="10"/>
      <c r="G142" s="10">
        <v>61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1">
        <v>61</v>
      </c>
    </row>
    <row r="143" spans="1:20" x14ac:dyDescent="0.3">
      <c r="A143" s="7"/>
      <c r="B143" s="9" t="s">
        <v>317</v>
      </c>
      <c r="C143" s="9"/>
      <c r="D143" s="10"/>
      <c r="E143" s="10"/>
      <c r="F143" s="10"/>
      <c r="G143" s="10">
        <v>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1">
        <v>1</v>
      </c>
    </row>
    <row r="144" spans="1:20" x14ac:dyDescent="0.3">
      <c r="A144" s="7"/>
      <c r="B144" s="9" t="s">
        <v>318</v>
      </c>
      <c r="C144" s="9"/>
      <c r="D144" s="10"/>
      <c r="E144" s="10"/>
      <c r="F144" s="10"/>
      <c r="G144" s="10">
        <v>9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1">
        <v>9</v>
      </c>
    </row>
    <row r="145" spans="1:20" x14ac:dyDescent="0.3">
      <c r="A145" s="7"/>
      <c r="B145" s="9" t="s">
        <v>319</v>
      </c>
      <c r="C145" s="9"/>
      <c r="D145" s="10"/>
      <c r="E145" s="10"/>
      <c r="F145" s="10"/>
      <c r="G145" s="10">
        <v>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1">
        <v>1</v>
      </c>
    </row>
    <row r="146" spans="1:20" x14ac:dyDescent="0.3">
      <c r="A146" s="7"/>
      <c r="B146" s="9" t="s">
        <v>320</v>
      </c>
      <c r="C146" s="9"/>
      <c r="D146" s="10"/>
      <c r="E146" s="10"/>
      <c r="F146" s="10"/>
      <c r="G146" s="10"/>
      <c r="H146" s="10"/>
      <c r="I146" s="10"/>
      <c r="J146" s="10"/>
      <c r="K146" s="10">
        <v>1</v>
      </c>
      <c r="L146" s="10"/>
      <c r="M146" s="10"/>
      <c r="N146" s="10">
        <v>1</v>
      </c>
      <c r="O146" s="10"/>
      <c r="P146" s="10"/>
      <c r="Q146" s="10"/>
      <c r="R146" s="10"/>
      <c r="S146" s="10"/>
      <c r="T146" s="11">
        <v>2</v>
      </c>
    </row>
    <row r="147" spans="1:20" x14ac:dyDescent="0.3">
      <c r="A147" s="7"/>
      <c r="B147" s="9" t="s">
        <v>321</v>
      </c>
      <c r="C147" s="9"/>
      <c r="D147" s="10"/>
      <c r="E147" s="10"/>
      <c r="F147" s="10"/>
      <c r="G147" s="10"/>
      <c r="H147" s="10">
        <v>1.25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1">
        <v>1.25</v>
      </c>
    </row>
    <row r="148" spans="1:20" x14ac:dyDescent="0.3">
      <c r="A148" s="7"/>
      <c r="B148" s="9" t="s">
        <v>322</v>
      </c>
      <c r="C148" s="9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>
        <v>1</v>
      </c>
      <c r="P148" s="10"/>
      <c r="Q148" s="10"/>
      <c r="R148" s="10"/>
      <c r="S148" s="10"/>
      <c r="T148" s="11">
        <v>1</v>
      </c>
    </row>
    <row r="149" spans="1:20" x14ac:dyDescent="0.3">
      <c r="A149" s="7"/>
      <c r="B149" s="9" t="s">
        <v>323</v>
      </c>
      <c r="C149" s="9">
        <v>3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1">
        <v>3</v>
      </c>
    </row>
    <row r="150" spans="1:20" x14ac:dyDescent="0.3">
      <c r="A150" s="7"/>
      <c r="B150" s="9" t="s">
        <v>324</v>
      </c>
      <c r="C150" s="9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>
        <v>8.5</v>
      </c>
      <c r="Q150" s="10"/>
      <c r="R150" s="10"/>
      <c r="S150" s="10"/>
      <c r="T150" s="11">
        <v>8.5</v>
      </c>
    </row>
    <row r="151" spans="1:20" x14ac:dyDescent="0.3">
      <c r="A151" s="7"/>
      <c r="B151" s="8" t="s">
        <v>325</v>
      </c>
      <c r="C151" s="9"/>
      <c r="D151" s="10"/>
      <c r="E151" s="10">
        <v>1</v>
      </c>
      <c r="F151" s="10">
        <v>4</v>
      </c>
      <c r="G151" s="10">
        <v>0.5</v>
      </c>
      <c r="H151" s="10">
        <v>3</v>
      </c>
      <c r="I151" s="10">
        <v>1</v>
      </c>
      <c r="J151" s="10"/>
      <c r="K151" s="10"/>
      <c r="L151" s="10"/>
      <c r="M151" s="10">
        <v>1</v>
      </c>
      <c r="N151" s="10"/>
      <c r="O151" s="10"/>
      <c r="P151" s="10">
        <v>2</v>
      </c>
      <c r="Q151" s="10">
        <v>14.5</v>
      </c>
      <c r="R151" s="10"/>
      <c r="S151" s="10">
        <v>9</v>
      </c>
      <c r="T151" s="11">
        <v>36</v>
      </c>
    </row>
    <row r="152" spans="1:20" x14ac:dyDescent="0.3">
      <c r="A152" s="7"/>
      <c r="B152" s="9" t="s">
        <v>326</v>
      </c>
      <c r="C152" s="9">
        <v>3</v>
      </c>
      <c r="D152" s="10"/>
      <c r="E152" s="10"/>
      <c r="F152" s="10"/>
      <c r="G152" s="10"/>
      <c r="H152" s="10">
        <v>3</v>
      </c>
      <c r="I152" s="10"/>
      <c r="J152" s="10"/>
      <c r="K152" s="10"/>
      <c r="L152" s="10"/>
      <c r="M152" s="10"/>
      <c r="N152" s="10"/>
      <c r="O152" s="10"/>
      <c r="P152" s="10"/>
      <c r="Q152" s="10">
        <v>5.5</v>
      </c>
      <c r="R152" s="10"/>
      <c r="S152" s="10"/>
      <c r="T152" s="11">
        <v>11.5</v>
      </c>
    </row>
    <row r="153" spans="1:20" x14ac:dyDescent="0.3">
      <c r="A153" s="7"/>
      <c r="B153" s="9" t="s">
        <v>327</v>
      </c>
      <c r="C153" s="9">
        <v>2</v>
      </c>
      <c r="D153" s="10"/>
      <c r="E153" s="10"/>
      <c r="F153" s="10"/>
      <c r="G153" s="10"/>
      <c r="H153" s="10">
        <v>1</v>
      </c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1">
        <v>3</v>
      </c>
    </row>
    <row r="154" spans="1:20" x14ac:dyDescent="0.3">
      <c r="A154" s="7"/>
      <c r="B154" s="9" t="s">
        <v>328</v>
      </c>
      <c r="C154" s="9"/>
      <c r="D154" s="10"/>
      <c r="E154" s="10"/>
      <c r="F154" s="10"/>
      <c r="G154" s="10">
        <v>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1">
        <v>2</v>
      </c>
    </row>
    <row r="155" spans="1:20" x14ac:dyDescent="0.3">
      <c r="A155" s="7"/>
      <c r="B155" s="9" t="s">
        <v>329</v>
      </c>
      <c r="C155" s="9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>
        <v>1</v>
      </c>
      <c r="T155" s="11">
        <v>1</v>
      </c>
    </row>
    <row r="156" spans="1:20" x14ac:dyDescent="0.3">
      <c r="A156" s="7"/>
      <c r="B156" s="9" t="s">
        <v>330</v>
      </c>
      <c r="C156" s="9"/>
      <c r="D156" s="10"/>
      <c r="E156" s="10"/>
      <c r="F156" s="10"/>
      <c r="G156" s="10"/>
      <c r="H156" s="10"/>
      <c r="I156" s="10"/>
      <c r="J156" s="10"/>
      <c r="K156" s="10"/>
      <c r="L156" s="10"/>
      <c r="M156" s="10">
        <v>1</v>
      </c>
      <c r="N156" s="10"/>
      <c r="O156" s="10"/>
      <c r="P156" s="10"/>
      <c r="Q156" s="10"/>
      <c r="R156" s="10"/>
      <c r="S156" s="10"/>
      <c r="T156" s="11">
        <v>1</v>
      </c>
    </row>
    <row r="157" spans="1:20" x14ac:dyDescent="0.3">
      <c r="A157" s="7"/>
      <c r="B157" s="9" t="s">
        <v>331</v>
      </c>
      <c r="C157" s="9"/>
      <c r="D157" s="10"/>
      <c r="E157" s="10">
        <v>3</v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1">
        <v>3</v>
      </c>
    </row>
    <row r="158" spans="1:20" x14ac:dyDescent="0.3">
      <c r="A158" s="7"/>
      <c r="B158" s="9" t="s">
        <v>332</v>
      </c>
      <c r="C158" s="9">
        <v>1</v>
      </c>
      <c r="D158" s="10">
        <v>0.5</v>
      </c>
      <c r="E158" s="10"/>
      <c r="F158" s="10">
        <v>1</v>
      </c>
      <c r="G158" s="10"/>
      <c r="H158" s="10"/>
      <c r="I158" s="10"/>
      <c r="J158" s="10"/>
      <c r="K158" s="10"/>
      <c r="L158" s="10"/>
      <c r="M158" s="10"/>
      <c r="N158" s="10"/>
      <c r="O158" s="10"/>
      <c r="P158" s="10">
        <v>0.3</v>
      </c>
      <c r="Q158" s="10"/>
      <c r="R158" s="10"/>
      <c r="S158" s="10"/>
      <c r="T158" s="11">
        <v>2.8</v>
      </c>
    </row>
    <row r="159" spans="1:20" x14ac:dyDescent="0.3">
      <c r="A159" s="7"/>
      <c r="B159" s="9" t="s">
        <v>333</v>
      </c>
      <c r="C159" s="9">
        <v>1</v>
      </c>
      <c r="D159" s="10"/>
      <c r="E159" s="10"/>
      <c r="F159" s="10"/>
      <c r="G159" s="10">
        <v>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1">
        <v>2</v>
      </c>
    </row>
    <row r="160" spans="1:20" x14ac:dyDescent="0.3">
      <c r="A160" s="7"/>
      <c r="B160" s="9" t="s">
        <v>334</v>
      </c>
      <c r="C160" s="9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>
        <v>0.15</v>
      </c>
      <c r="Q160" s="10"/>
      <c r="R160" s="10"/>
      <c r="S160" s="10">
        <v>1</v>
      </c>
      <c r="T160" s="11">
        <v>1.1499999999999999</v>
      </c>
    </row>
    <row r="161" spans="1:20" x14ac:dyDescent="0.3">
      <c r="A161" s="7"/>
      <c r="B161" s="8" t="s">
        <v>335</v>
      </c>
      <c r="C161" s="9"/>
      <c r="D161" s="10">
        <v>1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>
        <v>1</v>
      </c>
      <c r="P161" s="10"/>
      <c r="Q161" s="10"/>
      <c r="R161" s="10"/>
      <c r="S161" s="10"/>
      <c r="T161" s="11">
        <v>2</v>
      </c>
    </row>
    <row r="162" spans="1:20" x14ac:dyDescent="0.3">
      <c r="A162" s="7"/>
      <c r="B162" s="9" t="s">
        <v>336</v>
      </c>
      <c r="C162" s="9"/>
      <c r="D162" s="10"/>
      <c r="E162" s="10"/>
      <c r="F162" s="10"/>
      <c r="G162" s="10"/>
      <c r="H162" s="10">
        <v>1</v>
      </c>
      <c r="I162" s="10"/>
      <c r="J162" s="10"/>
      <c r="K162" s="10"/>
      <c r="L162" s="10"/>
      <c r="M162" s="10"/>
      <c r="N162" s="10"/>
      <c r="O162" s="10"/>
      <c r="P162" s="10"/>
      <c r="Q162" s="10">
        <v>1</v>
      </c>
      <c r="R162" s="10"/>
      <c r="S162" s="10"/>
      <c r="T162" s="11">
        <v>2</v>
      </c>
    </row>
    <row r="163" spans="1:20" x14ac:dyDescent="0.3">
      <c r="A163" s="7"/>
      <c r="B163" s="9" t="s">
        <v>337</v>
      </c>
      <c r="C163" s="9"/>
      <c r="D163" s="10"/>
      <c r="E163" s="10"/>
      <c r="F163" s="10"/>
      <c r="G163" s="10"/>
      <c r="H163" s="10">
        <v>1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1">
        <v>1</v>
      </c>
    </row>
    <row r="164" spans="1:20" x14ac:dyDescent="0.3">
      <c r="A164" s="12" t="s">
        <v>18</v>
      </c>
      <c r="B164" s="13"/>
      <c r="C164" s="12">
        <v>118.25</v>
      </c>
      <c r="D164" s="14">
        <v>25.7</v>
      </c>
      <c r="E164" s="14">
        <v>22.55</v>
      </c>
      <c r="F164" s="14">
        <v>38.15</v>
      </c>
      <c r="G164" s="14">
        <v>190.1</v>
      </c>
      <c r="H164" s="14">
        <v>138.69999999999999</v>
      </c>
      <c r="I164" s="14">
        <v>10</v>
      </c>
      <c r="J164" s="14">
        <v>11</v>
      </c>
      <c r="K164" s="14">
        <v>20.5</v>
      </c>
      <c r="L164" s="14">
        <v>1.5</v>
      </c>
      <c r="M164" s="14">
        <v>15</v>
      </c>
      <c r="N164" s="14">
        <v>20.7</v>
      </c>
      <c r="O164" s="14">
        <v>22</v>
      </c>
      <c r="P164" s="14">
        <v>34.950000000000003</v>
      </c>
      <c r="Q164" s="14">
        <v>106.2</v>
      </c>
      <c r="R164" s="14">
        <v>0.5</v>
      </c>
      <c r="S164" s="14">
        <v>68.95</v>
      </c>
      <c r="T164" s="15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546875" defaultRowHeight="14.4" x14ac:dyDescent="0.3"/>
  <cols>
    <col min="1" max="1" width="26.6640625" customWidth="1"/>
    <col min="2" max="2" width="40.6640625" customWidth="1"/>
  </cols>
  <sheetData>
    <row r="1" spans="1:18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6" t="s">
        <v>18</v>
      </c>
    </row>
    <row r="2" spans="1:18" x14ac:dyDescent="0.3">
      <c r="A2" s="4" t="s">
        <v>338</v>
      </c>
      <c r="B2" s="4" t="s">
        <v>339</v>
      </c>
      <c r="C2" s="4"/>
      <c r="D2" s="5"/>
      <c r="E2" s="5"/>
      <c r="F2" s="5"/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6">
        <v>1</v>
      </c>
    </row>
    <row r="3" spans="1:18" x14ac:dyDescent="0.3">
      <c r="A3" s="7"/>
      <c r="B3" s="9" t="s">
        <v>340</v>
      </c>
      <c r="C3" s="9"/>
      <c r="D3" s="10"/>
      <c r="E3" s="10"/>
      <c r="F3" s="10"/>
      <c r="G3" s="10"/>
      <c r="H3" s="10"/>
      <c r="I3" s="10"/>
      <c r="J3" s="10"/>
      <c r="K3" s="10"/>
      <c r="L3" s="10"/>
      <c r="M3" s="10">
        <v>1</v>
      </c>
      <c r="N3" s="10"/>
      <c r="O3" s="10"/>
      <c r="P3" s="10"/>
      <c r="Q3" s="10"/>
      <c r="R3" s="11">
        <v>1</v>
      </c>
    </row>
    <row r="4" spans="1:18" x14ac:dyDescent="0.3">
      <c r="A4" s="7"/>
      <c r="B4" s="9" t="s">
        <v>341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>
        <v>2</v>
      </c>
      <c r="R4" s="11">
        <v>2</v>
      </c>
    </row>
    <row r="5" spans="1:18" x14ac:dyDescent="0.3">
      <c r="A5" s="7"/>
      <c r="B5" s="4" t="s">
        <v>342</v>
      </c>
      <c r="C5" s="4"/>
      <c r="D5" s="5"/>
      <c r="E5" s="5"/>
      <c r="F5" s="5"/>
      <c r="G5" s="5">
        <v>2</v>
      </c>
      <c r="H5" s="5"/>
      <c r="I5" s="5"/>
      <c r="J5" s="5"/>
      <c r="K5" s="5"/>
      <c r="L5" s="5"/>
      <c r="M5" s="5"/>
      <c r="N5" s="5"/>
      <c r="O5" s="5"/>
      <c r="P5" s="5"/>
      <c r="Q5" s="5"/>
      <c r="R5" s="6">
        <v>2</v>
      </c>
    </row>
    <row r="6" spans="1:18" x14ac:dyDescent="0.3">
      <c r="A6" s="7"/>
      <c r="B6" s="4" t="s">
        <v>343</v>
      </c>
      <c r="C6" s="4">
        <v>1.5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>
        <v>1</v>
      </c>
      <c r="R6" s="6">
        <v>2.5</v>
      </c>
    </row>
    <row r="7" spans="1:18" x14ac:dyDescent="0.3">
      <c r="A7" s="7"/>
      <c r="B7" s="9" t="s">
        <v>344</v>
      </c>
      <c r="C7" s="9"/>
      <c r="D7" s="10"/>
      <c r="E7" s="10"/>
      <c r="F7" s="10"/>
      <c r="G7" s="10">
        <v>47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1">
        <v>47</v>
      </c>
    </row>
    <row r="8" spans="1:18" x14ac:dyDescent="0.3">
      <c r="A8" s="7"/>
      <c r="B8" s="9" t="s">
        <v>345</v>
      </c>
      <c r="C8" s="9">
        <v>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1</v>
      </c>
    </row>
    <row r="9" spans="1:18" x14ac:dyDescent="0.3">
      <c r="A9" s="7"/>
      <c r="B9" s="8" t="s">
        <v>340</v>
      </c>
      <c r="C9" s="9">
        <v>75</v>
      </c>
      <c r="D9" s="10">
        <v>10</v>
      </c>
      <c r="E9" s="10"/>
      <c r="F9" s="10">
        <v>13</v>
      </c>
      <c r="G9" s="10"/>
      <c r="H9" s="10">
        <v>117</v>
      </c>
      <c r="I9" s="10">
        <v>14</v>
      </c>
      <c r="J9" s="10"/>
      <c r="K9" s="10"/>
      <c r="L9" s="10"/>
      <c r="M9" s="10">
        <v>11</v>
      </c>
      <c r="N9" s="10"/>
      <c r="O9" s="10"/>
      <c r="P9" s="10"/>
      <c r="Q9" s="10"/>
      <c r="R9" s="11">
        <v>240</v>
      </c>
    </row>
    <row r="10" spans="1:18" x14ac:dyDescent="0.3">
      <c r="A10" s="7"/>
      <c r="B10" s="9" t="s">
        <v>346</v>
      </c>
      <c r="C10" s="9"/>
      <c r="D10" s="10"/>
      <c r="E10" s="10">
        <v>0.25</v>
      </c>
      <c r="F10" s="10"/>
      <c r="G10" s="10"/>
      <c r="H10" s="10"/>
      <c r="I10" s="10"/>
      <c r="J10" s="10"/>
      <c r="K10" s="10"/>
      <c r="L10" s="10"/>
      <c r="M10" s="10">
        <v>1</v>
      </c>
      <c r="N10" s="10"/>
      <c r="O10" s="10"/>
      <c r="P10" s="10"/>
      <c r="Q10" s="10"/>
      <c r="R10" s="11">
        <v>1.25</v>
      </c>
    </row>
    <row r="11" spans="1:18" x14ac:dyDescent="0.3">
      <c r="A11" s="7"/>
      <c r="B11" s="9" t="s">
        <v>347</v>
      </c>
      <c r="C11" s="9">
        <v>16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1">
        <v>16</v>
      </c>
    </row>
    <row r="12" spans="1:18" x14ac:dyDescent="0.3">
      <c r="A12" s="7"/>
      <c r="B12" s="9" t="s">
        <v>348</v>
      </c>
      <c r="C12" s="9"/>
      <c r="D12" s="10"/>
      <c r="E12" s="10"/>
      <c r="F12" s="10"/>
      <c r="G12" s="10"/>
      <c r="H12" s="10">
        <v>3</v>
      </c>
      <c r="I12" s="10"/>
      <c r="J12" s="10"/>
      <c r="K12" s="10"/>
      <c r="L12" s="10">
        <v>1</v>
      </c>
      <c r="M12" s="10"/>
      <c r="N12" s="10"/>
      <c r="O12" s="10"/>
      <c r="P12" s="10"/>
      <c r="Q12" s="10">
        <v>1</v>
      </c>
      <c r="R12" s="11">
        <v>5</v>
      </c>
    </row>
    <row r="13" spans="1:18" x14ac:dyDescent="0.3">
      <c r="A13" s="7"/>
      <c r="B13" s="9" t="s">
        <v>349</v>
      </c>
      <c r="C13" s="9">
        <v>2</v>
      </c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1">
        <v>3</v>
      </c>
    </row>
    <row r="14" spans="1:18" x14ac:dyDescent="0.3">
      <c r="A14" s="7"/>
      <c r="B14" s="17" t="s">
        <v>350</v>
      </c>
      <c r="C14" s="4">
        <v>55</v>
      </c>
      <c r="D14" s="5"/>
      <c r="E14" s="5"/>
      <c r="F14" s="5">
        <v>3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>
        <v>9</v>
      </c>
      <c r="R14" s="6">
        <v>67</v>
      </c>
    </row>
    <row r="15" spans="1:18" x14ac:dyDescent="0.3">
      <c r="A15" s="7"/>
      <c r="B15" s="9" t="s">
        <v>351</v>
      </c>
      <c r="C15" s="9">
        <v>79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15</v>
      </c>
      <c r="R15" s="11">
        <v>94</v>
      </c>
    </row>
    <row r="16" spans="1:18" x14ac:dyDescent="0.3">
      <c r="A16" s="7"/>
      <c r="B16" s="9" t="s">
        <v>352</v>
      </c>
      <c r="C16" s="9">
        <v>4.2</v>
      </c>
      <c r="D16" s="10"/>
      <c r="E16" s="10"/>
      <c r="F16" s="10"/>
      <c r="G16" s="10">
        <v>2</v>
      </c>
      <c r="H16" s="10"/>
      <c r="I16" s="10"/>
      <c r="J16" s="10"/>
      <c r="K16" s="10"/>
      <c r="L16" s="10"/>
      <c r="M16" s="10"/>
      <c r="N16" s="10"/>
      <c r="O16" s="10"/>
      <c r="P16" s="10">
        <v>1.25</v>
      </c>
      <c r="Q16" s="10"/>
      <c r="R16" s="11">
        <v>7.45</v>
      </c>
    </row>
    <row r="17" spans="1:18" x14ac:dyDescent="0.3">
      <c r="A17" s="7"/>
      <c r="B17" s="9" t="s">
        <v>353</v>
      </c>
      <c r="C17" s="9">
        <v>1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1">
        <v>1</v>
      </c>
    </row>
    <row r="18" spans="1:18" x14ac:dyDescent="0.3">
      <c r="A18" s="7"/>
      <c r="B18" s="9" t="s">
        <v>354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1">
        <v>1</v>
      </c>
    </row>
    <row r="19" spans="1:18" x14ac:dyDescent="0.3">
      <c r="A19" s="7"/>
      <c r="B19" s="8" t="s">
        <v>355</v>
      </c>
      <c r="C19" s="9"/>
      <c r="D19" s="10">
        <v>5.5</v>
      </c>
      <c r="E19" s="10"/>
      <c r="F19" s="10"/>
      <c r="G19" s="10"/>
      <c r="H19" s="10">
        <v>2</v>
      </c>
      <c r="I19" s="10"/>
      <c r="J19" s="10"/>
      <c r="K19" s="10"/>
      <c r="L19" s="10">
        <v>2</v>
      </c>
      <c r="M19" s="10"/>
      <c r="N19" s="10"/>
      <c r="O19" s="10"/>
      <c r="P19" s="10"/>
      <c r="Q19" s="10"/>
      <c r="R19" s="11">
        <v>9.5</v>
      </c>
    </row>
    <row r="20" spans="1:18" x14ac:dyDescent="0.3">
      <c r="A20" s="7"/>
      <c r="B20" s="9" t="s">
        <v>356</v>
      </c>
      <c r="C20" s="9">
        <v>5</v>
      </c>
      <c r="D20" s="10"/>
      <c r="E20" s="10">
        <v>0.4</v>
      </c>
      <c r="F20" s="10"/>
      <c r="G20" s="10"/>
      <c r="H20" s="10"/>
      <c r="I20" s="10"/>
      <c r="J20" s="10"/>
      <c r="K20" s="10"/>
      <c r="L20" s="10"/>
      <c r="M20" s="10">
        <v>0.4</v>
      </c>
      <c r="N20" s="10">
        <v>4</v>
      </c>
      <c r="O20" s="10"/>
      <c r="P20" s="10"/>
      <c r="Q20" s="10"/>
      <c r="R20" s="11">
        <v>9.8000000000000007</v>
      </c>
    </row>
    <row r="21" spans="1:18" x14ac:dyDescent="0.3">
      <c r="A21" s="7"/>
      <c r="B21" s="9" t="s">
        <v>357</v>
      </c>
      <c r="C21" s="9">
        <v>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1">
        <v>2</v>
      </c>
    </row>
    <row r="22" spans="1:18" x14ac:dyDescent="0.3">
      <c r="A22" s="7"/>
      <c r="B22" s="9" t="s">
        <v>358</v>
      </c>
      <c r="C22" s="9">
        <v>1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1">
        <v>1</v>
      </c>
    </row>
    <row r="23" spans="1:18" x14ac:dyDescent="0.3">
      <c r="A23" s="7"/>
      <c r="B23" s="9" t="s">
        <v>359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>
        <v>2</v>
      </c>
      <c r="O23" s="10"/>
      <c r="P23" s="10"/>
      <c r="Q23" s="10"/>
      <c r="R23" s="11">
        <v>2</v>
      </c>
    </row>
    <row r="24" spans="1:18" x14ac:dyDescent="0.3">
      <c r="A24" s="7"/>
      <c r="B24" s="9" t="s">
        <v>253</v>
      </c>
      <c r="C24" s="9"/>
      <c r="D24" s="10"/>
      <c r="E24" s="10"/>
      <c r="F24" s="10"/>
      <c r="G24" s="10"/>
      <c r="H24" s="10">
        <v>1</v>
      </c>
      <c r="I24" s="10"/>
      <c r="J24" s="10"/>
      <c r="K24" s="10"/>
      <c r="L24" s="10"/>
      <c r="M24" s="10"/>
      <c r="N24" s="10"/>
      <c r="O24" s="10"/>
      <c r="P24" s="10"/>
      <c r="Q24" s="10"/>
      <c r="R24" s="11">
        <v>1</v>
      </c>
    </row>
    <row r="25" spans="1:18" x14ac:dyDescent="0.3">
      <c r="A25" s="7"/>
      <c r="B25" s="9" t="s">
        <v>360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>
        <v>1</v>
      </c>
      <c r="Q25" s="10"/>
      <c r="R25" s="11">
        <v>1</v>
      </c>
    </row>
    <row r="26" spans="1:18" x14ac:dyDescent="0.3">
      <c r="A26" s="7"/>
      <c r="B26" s="9" t="s">
        <v>361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>
        <v>0.5</v>
      </c>
      <c r="N26" s="10"/>
      <c r="O26" s="10"/>
      <c r="P26" s="10"/>
      <c r="Q26" s="10"/>
      <c r="R26" s="11">
        <v>0.5</v>
      </c>
    </row>
    <row r="27" spans="1:18" x14ac:dyDescent="0.3">
      <c r="A27" s="7"/>
      <c r="B27" s="9" t="s">
        <v>362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>
        <v>2</v>
      </c>
      <c r="O27" s="10"/>
      <c r="P27" s="10"/>
      <c r="Q27" s="10"/>
      <c r="R27" s="11">
        <v>2</v>
      </c>
    </row>
    <row r="28" spans="1:18" x14ac:dyDescent="0.3">
      <c r="A28" s="7"/>
      <c r="B28" s="9" t="s">
        <v>363</v>
      </c>
      <c r="C28" s="9"/>
      <c r="D28" s="10"/>
      <c r="E28" s="10"/>
      <c r="F28" s="10"/>
      <c r="G28" s="10"/>
      <c r="H28" s="10">
        <v>5</v>
      </c>
      <c r="I28" s="10"/>
      <c r="J28" s="10"/>
      <c r="K28" s="10"/>
      <c r="L28" s="10"/>
      <c r="M28" s="10">
        <v>0.3</v>
      </c>
      <c r="N28" s="10"/>
      <c r="O28" s="10"/>
      <c r="P28" s="10"/>
      <c r="Q28" s="10">
        <v>4</v>
      </c>
      <c r="R28" s="11">
        <v>9.3000000000000007</v>
      </c>
    </row>
    <row r="29" spans="1:18" x14ac:dyDescent="0.3">
      <c r="A29" s="7"/>
      <c r="B29" s="9" t="s">
        <v>364</v>
      </c>
      <c r="C29" s="9"/>
      <c r="D29" s="10"/>
      <c r="E29" s="10"/>
      <c r="F29" s="10"/>
      <c r="G29" s="10"/>
      <c r="H29" s="10">
        <v>13</v>
      </c>
      <c r="I29" s="10"/>
      <c r="J29" s="10"/>
      <c r="K29" s="10"/>
      <c r="L29" s="10"/>
      <c r="M29" s="10"/>
      <c r="N29" s="10"/>
      <c r="O29" s="10"/>
      <c r="P29" s="10"/>
      <c r="Q29" s="10"/>
      <c r="R29" s="11">
        <v>13</v>
      </c>
    </row>
    <row r="30" spans="1:18" x14ac:dyDescent="0.3">
      <c r="A30" s="7"/>
      <c r="B30" s="9" t="s">
        <v>365</v>
      </c>
      <c r="C30" s="9"/>
      <c r="D30" s="10"/>
      <c r="E30" s="10"/>
      <c r="F30" s="10"/>
      <c r="G30" s="10">
        <v>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1">
        <v>1</v>
      </c>
    </row>
    <row r="31" spans="1:18" x14ac:dyDescent="0.3">
      <c r="A31" s="7"/>
      <c r="B31" s="9" t="s">
        <v>366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>
        <v>3</v>
      </c>
      <c r="O31" s="10"/>
      <c r="P31" s="10"/>
      <c r="Q31" s="10"/>
      <c r="R31" s="11">
        <v>3</v>
      </c>
    </row>
    <row r="32" spans="1:18" x14ac:dyDescent="0.3">
      <c r="A32" s="7"/>
      <c r="B32" s="9" t="s">
        <v>367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>
        <v>11</v>
      </c>
      <c r="O32" s="10"/>
      <c r="P32" s="10"/>
      <c r="Q32" s="10"/>
      <c r="R32" s="11">
        <v>11</v>
      </c>
    </row>
    <row r="33" spans="1:18" x14ac:dyDescent="0.3">
      <c r="A33" s="7"/>
      <c r="B33" s="8" t="s">
        <v>368</v>
      </c>
      <c r="C33" s="9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>
        <v>1</v>
      </c>
      <c r="P33" s="10"/>
      <c r="Q33" s="10"/>
      <c r="R33" s="11">
        <v>1</v>
      </c>
    </row>
    <row r="34" spans="1:18" x14ac:dyDescent="0.3">
      <c r="A34" s="7"/>
      <c r="B34" s="9" t="s">
        <v>369</v>
      </c>
      <c r="C34" s="9"/>
      <c r="D34" s="10"/>
      <c r="E34" s="10"/>
      <c r="F34" s="10"/>
      <c r="G34" s="10">
        <v>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1">
        <v>1</v>
      </c>
    </row>
    <row r="35" spans="1:18" x14ac:dyDescent="0.3">
      <c r="A35" s="7"/>
      <c r="B35" s="9" t="s">
        <v>370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>
        <v>2</v>
      </c>
      <c r="R35" s="11">
        <v>2</v>
      </c>
    </row>
    <row r="36" spans="1:18" x14ac:dyDescent="0.3">
      <c r="A36" s="7"/>
      <c r="B36" s="9" t="s">
        <v>346</v>
      </c>
      <c r="C36" s="9">
        <v>1</v>
      </c>
      <c r="D36" s="10"/>
      <c r="E36" s="10"/>
      <c r="F36" s="10"/>
      <c r="G36" s="10"/>
      <c r="H36" s="10"/>
      <c r="I36" s="10"/>
      <c r="J36" s="10">
        <v>1</v>
      </c>
      <c r="K36" s="10"/>
      <c r="L36" s="10"/>
      <c r="M36" s="10"/>
      <c r="N36" s="10"/>
      <c r="O36" s="10"/>
      <c r="P36" s="10"/>
      <c r="Q36" s="10"/>
      <c r="R36" s="11">
        <v>2</v>
      </c>
    </row>
    <row r="37" spans="1:18" x14ac:dyDescent="0.3">
      <c r="A37" s="7"/>
      <c r="B37" s="9" t="s">
        <v>371</v>
      </c>
      <c r="C37" s="9"/>
      <c r="D37" s="10">
        <v>1</v>
      </c>
      <c r="E37" s="10"/>
      <c r="F37" s="10"/>
      <c r="G37" s="10"/>
      <c r="H37" s="10">
        <v>1</v>
      </c>
      <c r="I37" s="10"/>
      <c r="J37" s="10"/>
      <c r="K37" s="10"/>
      <c r="L37" s="10"/>
      <c r="M37" s="10"/>
      <c r="N37" s="10"/>
      <c r="O37" s="10"/>
      <c r="P37" s="10">
        <v>1</v>
      </c>
      <c r="Q37" s="10"/>
      <c r="R37" s="11">
        <v>3</v>
      </c>
    </row>
    <row r="38" spans="1:18" x14ac:dyDescent="0.3">
      <c r="A38" s="7"/>
      <c r="B38" s="9" t="s">
        <v>269</v>
      </c>
      <c r="C38" s="9">
        <v>28.75</v>
      </c>
      <c r="D38" s="10">
        <v>1</v>
      </c>
      <c r="E38" s="10"/>
      <c r="F38" s="10">
        <v>10.7</v>
      </c>
      <c r="G38" s="10"/>
      <c r="H38" s="10">
        <v>12</v>
      </c>
      <c r="I38" s="10"/>
      <c r="J38" s="10"/>
      <c r="K38" s="10">
        <v>2</v>
      </c>
      <c r="L38" s="10"/>
      <c r="M38" s="10"/>
      <c r="N38" s="10">
        <v>1</v>
      </c>
      <c r="O38" s="10"/>
      <c r="P38" s="10">
        <v>3</v>
      </c>
      <c r="Q38" s="10"/>
      <c r="R38" s="11">
        <v>58.45</v>
      </c>
    </row>
    <row r="39" spans="1:18" x14ac:dyDescent="0.3">
      <c r="A39" s="7"/>
      <c r="B39" s="9" t="s">
        <v>271</v>
      </c>
      <c r="C39" s="9">
        <v>4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1">
        <v>4</v>
      </c>
    </row>
    <row r="40" spans="1:18" x14ac:dyDescent="0.3">
      <c r="A40" s="7"/>
      <c r="B40" s="9" t="s">
        <v>372</v>
      </c>
      <c r="C40" s="9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>
        <v>1</v>
      </c>
      <c r="O40" s="10"/>
      <c r="P40" s="10"/>
      <c r="Q40" s="10"/>
      <c r="R40" s="11">
        <v>1</v>
      </c>
    </row>
    <row r="41" spans="1:18" x14ac:dyDescent="0.3">
      <c r="A41" s="7"/>
      <c r="B41" s="9" t="s">
        <v>373</v>
      </c>
      <c r="C41" s="9"/>
      <c r="D41" s="10">
        <v>1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1">
        <v>1</v>
      </c>
    </row>
    <row r="42" spans="1:18" x14ac:dyDescent="0.3">
      <c r="A42" s="7"/>
      <c r="B42" s="9" t="s">
        <v>276</v>
      </c>
      <c r="C42" s="9">
        <v>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1">
        <v>2</v>
      </c>
    </row>
    <row r="43" spans="1:18" x14ac:dyDescent="0.3">
      <c r="A43" s="7"/>
      <c r="B43" s="9" t="s">
        <v>374</v>
      </c>
      <c r="C43" s="9"/>
      <c r="D43" s="10">
        <v>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1">
        <v>1</v>
      </c>
    </row>
    <row r="44" spans="1:18" x14ac:dyDescent="0.3">
      <c r="A44" s="7"/>
      <c r="B44" s="9" t="s">
        <v>279</v>
      </c>
      <c r="C44" s="9">
        <v>0.25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>
        <v>0.25</v>
      </c>
    </row>
    <row r="45" spans="1:18" x14ac:dyDescent="0.3">
      <c r="A45" s="7"/>
      <c r="B45" s="9" t="s">
        <v>375</v>
      </c>
      <c r="C45" s="9">
        <v>15.5</v>
      </c>
      <c r="D45" s="10"/>
      <c r="E45" s="10"/>
      <c r="F45" s="10">
        <v>7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>
        <v>2</v>
      </c>
      <c r="R45" s="11">
        <v>24.5</v>
      </c>
    </row>
    <row r="46" spans="1:18" x14ac:dyDescent="0.3">
      <c r="A46" s="7"/>
      <c r="B46" s="9" t="s">
        <v>283</v>
      </c>
      <c r="C46" s="9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>
        <v>1</v>
      </c>
      <c r="R46" s="11">
        <v>1</v>
      </c>
    </row>
    <row r="47" spans="1:18" x14ac:dyDescent="0.3">
      <c r="A47" s="7"/>
      <c r="B47" s="9" t="s">
        <v>284</v>
      </c>
      <c r="C47" s="9"/>
      <c r="D47" s="10"/>
      <c r="E47" s="10"/>
      <c r="F47" s="10"/>
      <c r="G47" s="10"/>
      <c r="H47" s="10"/>
      <c r="I47" s="10">
        <v>0.5</v>
      </c>
      <c r="J47" s="10"/>
      <c r="K47" s="10"/>
      <c r="L47" s="10"/>
      <c r="M47" s="10"/>
      <c r="N47" s="10">
        <v>2</v>
      </c>
      <c r="O47" s="10"/>
      <c r="P47" s="10"/>
      <c r="Q47" s="10"/>
      <c r="R47" s="11">
        <v>2.5</v>
      </c>
    </row>
    <row r="48" spans="1:18" x14ac:dyDescent="0.3">
      <c r="A48" s="7"/>
      <c r="B48" s="9" t="s">
        <v>376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>
        <v>1</v>
      </c>
      <c r="P48" s="10"/>
      <c r="Q48" s="10"/>
      <c r="R48" s="11">
        <v>1</v>
      </c>
    </row>
    <row r="49" spans="1:18" x14ac:dyDescent="0.3">
      <c r="A49" s="7"/>
      <c r="B49" s="9" t="s">
        <v>298</v>
      </c>
      <c r="C49" s="9"/>
      <c r="D49" s="10"/>
      <c r="E49" s="10"/>
      <c r="F49" s="10"/>
      <c r="G49" s="10"/>
      <c r="H49" s="10">
        <v>3</v>
      </c>
      <c r="I49" s="10"/>
      <c r="J49" s="10"/>
      <c r="K49" s="10">
        <v>1</v>
      </c>
      <c r="L49" s="10">
        <v>1</v>
      </c>
      <c r="M49" s="10"/>
      <c r="N49" s="10"/>
      <c r="O49" s="10"/>
      <c r="P49" s="10"/>
      <c r="Q49" s="10"/>
      <c r="R49" s="11">
        <v>5</v>
      </c>
    </row>
    <row r="50" spans="1:18" x14ac:dyDescent="0.3">
      <c r="A50" s="7"/>
      <c r="B50" s="9" t="s">
        <v>377</v>
      </c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v>1</v>
      </c>
      <c r="R50" s="11">
        <v>1</v>
      </c>
    </row>
    <row r="51" spans="1:18" x14ac:dyDescent="0.3">
      <c r="A51" s="7"/>
      <c r="B51" s="9" t="s">
        <v>378</v>
      </c>
      <c r="C51" s="9"/>
      <c r="D51" s="10"/>
      <c r="E51" s="10"/>
      <c r="F51" s="10"/>
      <c r="G51" s="10"/>
      <c r="H51" s="10">
        <v>1</v>
      </c>
      <c r="I51" s="10"/>
      <c r="J51" s="10"/>
      <c r="K51" s="10"/>
      <c r="L51" s="10"/>
      <c r="M51" s="10"/>
      <c r="N51" s="10"/>
      <c r="O51" s="10"/>
      <c r="P51" s="10"/>
      <c r="Q51" s="10"/>
      <c r="R51" s="11">
        <v>1</v>
      </c>
    </row>
    <row r="52" spans="1:18" x14ac:dyDescent="0.3">
      <c r="A52" s="7"/>
      <c r="B52" s="9" t="s">
        <v>379</v>
      </c>
      <c r="C52" s="9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>
        <v>12.7</v>
      </c>
      <c r="R52" s="11">
        <v>12.7</v>
      </c>
    </row>
    <row r="53" spans="1:18" x14ac:dyDescent="0.3">
      <c r="A53" s="7"/>
      <c r="B53" s="9" t="s">
        <v>380</v>
      </c>
      <c r="C53" s="9"/>
      <c r="D53" s="10"/>
      <c r="E53" s="10"/>
      <c r="F53" s="10">
        <v>0.5</v>
      </c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1">
        <v>0.5</v>
      </c>
    </row>
    <row r="54" spans="1:18" x14ac:dyDescent="0.3">
      <c r="A54" s="7"/>
      <c r="B54" s="9" t="s">
        <v>381</v>
      </c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>
        <v>1</v>
      </c>
      <c r="O54" s="10"/>
      <c r="P54" s="10"/>
      <c r="Q54" s="10"/>
      <c r="R54" s="11">
        <v>1</v>
      </c>
    </row>
    <row r="55" spans="1:18" x14ac:dyDescent="0.3">
      <c r="A55" s="7"/>
      <c r="B55" s="9" t="s">
        <v>382</v>
      </c>
      <c r="C55" s="9">
        <v>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</v>
      </c>
    </row>
    <row r="56" spans="1:18" x14ac:dyDescent="0.3">
      <c r="A56" s="7"/>
      <c r="B56" s="9" t="s">
        <v>383</v>
      </c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>
        <v>3</v>
      </c>
      <c r="P56" s="10"/>
      <c r="Q56" s="10"/>
      <c r="R56" s="11">
        <v>3</v>
      </c>
    </row>
    <row r="57" spans="1:18" x14ac:dyDescent="0.3">
      <c r="A57" s="7"/>
      <c r="B57" s="9" t="s">
        <v>384</v>
      </c>
      <c r="C57" s="9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>
        <v>1</v>
      </c>
      <c r="O57" s="10"/>
      <c r="P57" s="10"/>
      <c r="Q57" s="10"/>
      <c r="R57" s="11">
        <v>1</v>
      </c>
    </row>
    <row r="58" spans="1:18" x14ac:dyDescent="0.3">
      <c r="A58" s="7"/>
      <c r="B58" s="9" t="s">
        <v>385</v>
      </c>
      <c r="C58" s="9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>
        <v>2</v>
      </c>
      <c r="O58" s="10"/>
      <c r="P58" s="10"/>
      <c r="Q58" s="10"/>
      <c r="R58" s="11">
        <v>2</v>
      </c>
    </row>
    <row r="59" spans="1:18" x14ac:dyDescent="0.3">
      <c r="A59" s="7"/>
      <c r="B59" s="9" t="s">
        <v>348</v>
      </c>
      <c r="C59" s="9"/>
      <c r="D59" s="10"/>
      <c r="E59" s="10"/>
      <c r="F59" s="10"/>
      <c r="G59" s="10"/>
      <c r="H59" s="10"/>
      <c r="I59" s="10"/>
      <c r="J59" s="10"/>
      <c r="K59" s="10">
        <v>1.5</v>
      </c>
      <c r="L59" s="10"/>
      <c r="M59" s="10"/>
      <c r="N59" s="10"/>
      <c r="O59" s="10"/>
      <c r="P59" s="10"/>
      <c r="Q59" s="10"/>
      <c r="R59" s="11">
        <v>1.5</v>
      </c>
    </row>
    <row r="60" spans="1:18" x14ac:dyDescent="0.3">
      <c r="A60" s="7"/>
      <c r="B60" s="8" t="s">
        <v>386</v>
      </c>
      <c r="C60" s="9">
        <v>1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1">
        <v>1</v>
      </c>
    </row>
    <row r="61" spans="1:18" x14ac:dyDescent="0.3">
      <c r="A61" s="7"/>
      <c r="B61" s="9" t="s">
        <v>387</v>
      </c>
      <c r="C61" s="9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>
        <v>1</v>
      </c>
      <c r="P61" s="10"/>
      <c r="Q61" s="10"/>
      <c r="R61" s="11">
        <v>1</v>
      </c>
    </row>
    <row r="62" spans="1:18" x14ac:dyDescent="0.3">
      <c r="A62" s="7"/>
      <c r="B62" s="9" t="s">
        <v>388</v>
      </c>
      <c r="C62" s="9"/>
      <c r="D62" s="10"/>
      <c r="E62" s="10"/>
      <c r="F62" s="10"/>
      <c r="G62" s="10"/>
      <c r="H62" s="10"/>
      <c r="I62" s="10"/>
      <c r="J62" s="10"/>
      <c r="K62" s="10"/>
      <c r="L62" s="10">
        <v>1</v>
      </c>
      <c r="M62" s="10"/>
      <c r="N62" s="10"/>
      <c r="O62" s="10"/>
      <c r="P62" s="10"/>
      <c r="Q62" s="10"/>
      <c r="R62" s="11">
        <v>1</v>
      </c>
    </row>
    <row r="63" spans="1:18" x14ac:dyDescent="0.3">
      <c r="A63" s="7"/>
      <c r="B63" s="9" t="s">
        <v>389</v>
      </c>
      <c r="C63" s="9"/>
      <c r="D63" s="10"/>
      <c r="E63" s="10"/>
      <c r="F63" s="10"/>
      <c r="G63" s="10"/>
      <c r="H63" s="10"/>
      <c r="I63" s="10"/>
      <c r="J63" s="10"/>
      <c r="K63" s="10">
        <v>18</v>
      </c>
      <c r="L63" s="10"/>
      <c r="M63" s="10"/>
      <c r="N63" s="10"/>
      <c r="O63" s="10"/>
      <c r="P63" s="10"/>
      <c r="Q63" s="10"/>
      <c r="R63" s="11">
        <v>18</v>
      </c>
    </row>
    <row r="64" spans="1:18" x14ac:dyDescent="0.3">
      <c r="A64" s="7"/>
      <c r="B64" s="9" t="s">
        <v>390</v>
      </c>
      <c r="C64" s="9"/>
      <c r="D64" s="10"/>
      <c r="E64" s="10"/>
      <c r="F64" s="10"/>
      <c r="G64" s="10"/>
      <c r="H64" s="10"/>
      <c r="I64" s="10"/>
      <c r="J64" s="10"/>
      <c r="K64" s="10">
        <v>2</v>
      </c>
      <c r="L64" s="10"/>
      <c r="M64" s="10"/>
      <c r="N64" s="10"/>
      <c r="O64" s="10"/>
      <c r="P64" s="10"/>
      <c r="Q64" s="10"/>
      <c r="R64" s="11">
        <v>2</v>
      </c>
    </row>
    <row r="65" spans="1:18" x14ac:dyDescent="0.3">
      <c r="A65" s="7"/>
      <c r="B65" s="9" t="s">
        <v>315</v>
      </c>
      <c r="C65" s="9"/>
      <c r="D65" s="10"/>
      <c r="E65" s="10"/>
      <c r="F65" s="10">
        <v>6</v>
      </c>
      <c r="G65" s="10">
        <v>11</v>
      </c>
      <c r="H65" s="10">
        <v>16</v>
      </c>
      <c r="I65" s="10">
        <v>1</v>
      </c>
      <c r="J65" s="10"/>
      <c r="K65" s="10"/>
      <c r="L65" s="10"/>
      <c r="M65" s="10"/>
      <c r="N65" s="10"/>
      <c r="O65" s="10">
        <v>1</v>
      </c>
      <c r="P65" s="10"/>
      <c r="Q65" s="10"/>
      <c r="R65" s="11">
        <v>35</v>
      </c>
    </row>
    <row r="66" spans="1:18" x14ac:dyDescent="0.3">
      <c r="A66" s="7"/>
      <c r="B66" s="9" t="s">
        <v>391</v>
      </c>
      <c r="C66" s="9"/>
      <c r="D66" s="10"/>
      <c r="E66" s="10"/>
      <c r="F66" s="10"/>
      <c r="G66" s="10">
        <v>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1">
        <v>1</v>
      </c>
    </row>
    <row r="67" spans="1:18" x14ac:dyDescent="0.3">
      <c r="A67" s="7"/>
      <c r="B67" s="9" t="s">
        <v>392</v>
      </c>
      <c r="C67" s="9"/>
      <c r="D67" s="10"/>
      <c r="E67" s="10"/>
      <c r="F67" s="10"/>
      <c r="G67" s="10">
        <v>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1">
        <v>3</v>
      </c>
    </row>
    <row r="68" spans="1:18" x14ac:dyDescent="0.3">
      <c r="A68" s="7"/>
      <c r="B68" s="9" t="s">
        <v>393</v>
      </c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>
        <v>2</v>
      </c>
      <c r="O68" s="10"/>
      <c r="P68" s="10"/>
      <c r="Q68" s="10"/>
      <c r="R68" s="11">
        <v>2</v>
      </c>
    </row>
    <row r="69" spans="1:18" x14ac:dyDescent="0.3">
      <c r="A69" s="7"/>
      <c r="B69" s="9" t="s">
        <v>394</v>
      </c>
      <c r="C69" s="9">
        <v>1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1">
        <v>1</v>
      </c>
    </row>
    <row r="70" spans="1:18" x14ac:dyDescent="0.3">
      <c r="A70" s="12" t="s">
        <v>18</v>
      </c>
      <c r="B70" s="13"/>
      <c r="C70" s="12">
        <v>297.2</v>
      </c>
      <c r="D70" s="14">
        <v>19.5</v>
      </c>
      <c r="E70" s="14">
        <v>0.65</v>
      </c>
      <c r="F70" s="14">
        <v>40.200000000000003</v>
      </c>
      <c r="G70" s="14">
        <v>69</v>
      </c>
      <c r="H70" s="14">
        <v>174</v>
      </c>
      <c r="I70" s="14">
        <v>15.5</v>
      </c>
      <c r="J70" s="14">
        <v>1</v>
      </c>
      <c r="K70" s="14">
        <v>24.5</v>
      </c>
      <c r="L70" s="14">
        <v>6</v>
      </c>
      <c r="M70" s="14">
        <v>14.2</v>
      </c>
      <c r="N70" s="14">
        <v>32</v>
      </c>
      <c r="O70" s="14">
        <v>8</v>
      </c>
      <c r="P70" s="14">
        <v>6.25</v>
      </c>
      <c r="Q70" s="14">
        <v>50.7</v>
      </c>
      <c r="R70" s="15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546875" defaultRowHeight="14.4" x14ac:dyDescent="0.3"/>
  <cols>
    <col min="1" max="1" width="34.33203125" customWidth="1"/>
    <col min="2" max="2" width="59" customWidth="1"/>
  </cols>
  <sheetData>
    <row r="1" spans="1:18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15</v>
      </c>
      <c r="P1" s="5" t="s">
        <v>16</v>
      </c>
      <c r="Q1" s="5" t="s">
        <v>17</v>
      </c>
      <c r="R1" s="6" t="s">
        <v>18</v>
      </c>
    </row>
    <row r="2" spans="1:18" x14ac:dyDescent="0.3">
      <c r="A2" s="4" t="s">
        <v>395</v>
      </c>
      <c r="B2" s="4" t="s">
        <v>396</v>
      </c>
      <c r="C2" s="4"/>
      <c r="D2" s="5"/>
      <c r="E2" s="5"/>
      <c r="F2" s="5"/>
      <c r="G2" s="5"/>
      <c r="H2" s="5">
        <v>1</v>
      </c>
      <c r="I2" s="5"/>
      <c r="J2" s="5"/>
      <c r="K2" s="5"/>
      <c r="L2" s="5"/>
      <c r="M2" s="5"/>
      <c r="N2" s="5"/>
      <c r="O2" s="5"/>
      <c r="P2" s="5"/>
      <c r="Q2" s="5"/>
      <c r="R2" s="6">
        <v>1</v>
      </c>
    </row>
    <row r="3" spans="1:18" x14ac:dyDescent="0.3">
      <c r="A3" s="7"/>
      <c r="B3" s="9" t="s">
        <v>397</v>
      </c>
      <c r="C3" s="9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1">
        <v>1</v>
      </c>
    </row>
    <row r="4" spans="1:18" x14ac:dyDescent="0.3">
      <c r="A4" s="7"/>
      <c r="B4" s="9" t="s">
        <v>398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>
        <v>1</v>
      </c>
      <c r="O4" s="10"/>
      <c r="P4" s="10"/>
      <c r="Q4" s="10"/>
      <c r="R4" s="11">
        <v>1</v>
      </c>
    </row>
    <row r="5" spans="1:18" x14ac:dyDescent="0.3">
      <c r="A5" s="7"/>
      <c r="B5" s="9" t="s">
        <v>399</v>
      </c>
      <c r="C5" s="9"/>
      <c r="D5" s="10"/>
      <c r="E5" s="10">
        <v>1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1">
        <v>1</v>
      </c>
    </row>
    <row r="6" spans="1:18" x14ac:dyDescent="0.3">
      <c r="A6" s="7"/>
      <c r="B6" s="9" t="s">
        <v>400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>
        <v>1</v>
      </c>
      <c r="O6" s="10"/>
      <c r="P6" s="10"/>
      <c r="Q6" s="10"/>
      <c r="R6" s="11">
        <v>1</v>
      </c>
    </row>
    <row r="7" spans="1:18" x14ac:dyDescent="0.3">
      <c r="A7" s="7"/>
      <c r="B7" s="9" t="s">
        <v>401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>
        <v>3</v>
      </c>
      <c r="O7" s="10"/>
      <c r="P7" s="10"/>
      <c r="Q7" s="10"/>
      <c r="R7" s="11">
        <v>3</v>
      </c>
    </row>
    <row r="8" spans="1:18" x14ac:dyDescent="0.3">
      <c r="A8" s="7"/>
      <c r="B8" s="9" t="s">
        <v>402</v>
      </c>
      <c r="C8" s="9"/>
      <c r="D8" s="10"/>
      <c r="E8" s="10">
        <v>4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4</v>
      </c>
    </row>
    <row r="9" spans="1:18" x14ac:dyDescent="0.3">
      <c r="A9" s="7"/>
      <c r="B9" s="9" t="s">
        <v>403</v>
      </c>
      <c r="C9" s="9"/>
      <c r="D9" s="10"/>
      <c r="E9" s="10">
        <v>4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1">
        <v>4</v>
      </c>
    </row>
    <row r="10" spans="1:18" x14ac:dyDescent="0.3">
      <c r="A10" s="7"/>
      <c r="B10" s="9" t="s">
        <v>404</v>
      </c>
      <c r="C10" s="9"/>
      <c r="D10" s="10"/>
      <c r="E10" s="10">
        <v>5</v>
      </c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1">
        <v>6</v>
      </c>
    </row>
    <row r="11" spans="1:18" x14ac:dyDescent="0.3">
      <c r="A11" s="7"/>
      <c r="B11" s="9" t="s">
        <v>405</v>
      </c>
      <c r="C11" s="9"/>
      <c r="D11" s="10"/>
      <c r="E11" s="10">
        <v>1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1">
        <v>1</v>
      </c>
    </row>
    <row r="12" spans="1:18" x14ac:dyDescent="0.3">
      <c r="A12" s="7"/>
      <c r="B12" s="9" t="s">
        <v>406</v>
      </c>
      <c r="C12" s="9"/>
      <c r="D12" s="10"/>
      <c r="E12" s="10">
        <v>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1">
        <v>1</v>
      </c>
    </row>
    <row r="13" spans="1:18" x14ac:dyDescent="0.3">
      <c r="A13" s="7"/>
      <c r="B13" s="9" t="s">
        <v>407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>
        <v>1</v>
      </c>
      <c r="O13" s="10"/>
      <c r="P13" s="10"/>
      <c r="Q13" s="10"/>
      <c r="R13" s="11">
        <v>1</v>
      </c>
    </row>
    <row r="14" spans="1:18" x14ac:dyDescent="0.3">
      <c r="A14" s="7"/>
      <c r="B14" s="9" t="s">
        <v>408</v>
      </c>
      <c r="C14" s="9"/>
      <c r="D14" s="10"/>
      <c r="E14" s="10">
        <v>1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1">
        <v>1</v>
      </c>
    </row>
    <row r="15" spans="1:18" x14ac:dyDescent="0.3">
      <c r="A15" s="7"/>
      <c r="B15" s="9" t="s">
        <v>409</v>
      </c>
      <c r="C15" s="9"/>
      <c r="D15" s="10"/>
      <c r="E15" s="10">
        <v>1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1">
        <v>1</v>
      </c>
    </row>
    <row r="16" spans="1:18" x14ac:dyDescent="0.3">
      <c r="A16" s="7"/>
      <c r="B16" s="9" t="s">
        <v>410</v>
      </c>
      <c r="C16" s="9"/>
      <c r="D16" s="10"/>
      <c r="E16" s="10">
        <v>3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1">
        <v>3</v>
      </c>
    </row>
    <row r="17" spans="1:18" x14ac:dyDescent="0.3">
      <c r="A17" s="7"/>
      <c r="B17" s="9" t="s">
        <v>411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>
        <v>1</v>
      </c>
      <c r="O17" s="10"/>
      <c r="P17" s="10"/>
      <c r="Q17" s="10"/>
      <c r="R17" s="11">
        <v>1</v>
      </c>
    </row>
    <row r="18" spans="1:18" x14ac:dyDescent="0.3">
      <c r="A18" s="7"/>
      <c r="B18" s="9" t="s">
        <v>412</v>
      </c>
      <c r="C18" s="9"/>
      <c r="D18" s="10"/>
      <c r="E18" s="10">
        <v>0.3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1">
        <v>0.3</v>
      </c>
    </row>
    <row r="19" spans="1:18" x14ac:dyDescent="0.3">
      <c r="A19" s="7"/>
      <c r="B19" s="9" t="s">
        <v>413</v>
      </c>
      <c r="C19" s="9"/>
      <c r="D19" s="10"/>
      <c r="E19" s="10"/>
      <c r="F19" s="10"/>
      <c r="G19" s="10"/>
      <c r="H19" s="10">
        <v>3</v>
      </c>
      <c r="I19" s="10"/>
      <c r="J19" s="10"/>
      <c r="K19" s="10"/>
      <c r="L19" s="10"/>
      <c r="M19" s="10"/>
      <c r="N19" s="10"/>
      <c r="O19" s="10"/>
      <c r="P19" s="10"/>
      <c r="Q19" s="10"/>
      <c r="R19" s="11">
        <v>3</v>
      </c>
    </row>
    <row r="20" spans="1:18" x14ac:dyDescent="0.3">
      <c r="A20" s="7"/>
      <c r="B20" s="9" t="s">
        <v>414</v>
      </c>
      <c r="C20" s="9"/>
      <c r="D20" s="10"/>
      <c r="E20" s="10"/>
      <c r="F20" s="10"/>
      <c r="G20" s="10"/>
      <c r="H20" s="10">
        <v>2</v>
      </c>
      <c r="I20" s="10"/>
      <c r="J20" s="10"/>
      <c r="K20" s="10"/>
      <c r="L20" s="10"/>
      <c r="M20" s="10"/>
      <c r="N20" s="10"/>
      <c r="O20" s="10"/>
      <c r="P20" s="10"/>
      <c r="Q20" s="10"/>
      <c r="R20" s="11">
        <v>2</v>
      </c>
    </row>
    <row r="21" spans="1:18" x14ac:dyDescent="0.3">
      <c r="A21" s="7"/>
      <c r="B21" s="9" t="s">
        <v>415</v>
      </c>
      <c r="C21" s="9"/>
      <c r="D21" s="10"/>
      <c r="E21" s="10"/>
      <c r="F21" s="10"/>
      <c r="G21" s="10"/>
      <c r="H21" s="10">
        <v>6</v>
      </c>
      <c r="I21" s="10"/>
      <c r="J21" s="10"/>
      <c r="K21" s="10"/>
      <c r="L21" s="10"/>
      <c r="M21" s="10"/>
      <c r="N21" s="10"/>
      <c r="O21" s="10"/>
      <c r="P21" s="10"/>
      <c r="Q21" s="10"/>
      <c r="R21" s="11">
        <v>6</v>
      </c>
    </row>
    <row r="22" spans="1:18" x14ac:dyDescent="0.3">
      <c r="A22" s="7"/>
      <c r="B22" s="9" t="s">
        <v>416</v>
      </c>
      <c r="C22" s="9"/>
      <c r="D22" s="10"/>
      <c r="E22" s="10"/>
      <c r="F22" s="10"/>
      <c r="G22" s="10"/>
      <c r="H22" s="10">
        <v>15.25</v>
      </c>
      <c r="I22" s="10"/>
      <c r="J22" s="10">
        <v>1</v>
      </c>
      <c r="K22" s="10"/>
      <c r="L22" s="10"/>
      <c r="M22" s="10"/>
      <c r="N22" s="10"/>
      <c r="O22" s="10"/>
      <c r="P22" s="10"/>
      <c r="Q22" s="10"/>
      <c r="R22" s="11">
        <v>16.25</v>
      </c>
    </row>
    <row r="23" spans="1:18" x14ac:dyDescent="0.3">
      <c r="A23" s="7"/>
      <c r="B23" s="9" t="s">
        <v>417</v>
      </c>
      <c r="C23" s="9">
        <v>6</v>
      </c>
      <c r="D23" s="10">
        <v>1</v>
      </c>
      <c r="E23" s="10"/>
      <c r="F23" s="10">
        <v>1</v>
      </c>
      <c r="G23" s="10"/>
      <c r="H23" s="10">
        <v>1</v>
      </c>
      <c r="I23" s="10">
        <v>1</v>
      </c>
      <c r="J23" s="10"/>
      <c r="K23" s="10">
        <v>2</v>
      </c>
      <c r="L23" s="10"/>
      <c r="M23" s="10"/>
      <c r="N23" s="10"/>
      <c r="O23" s="10">
        <v>3.25</v>
      </c>
      <c r="P23" s="10">
        <v>3</v>
      </c>
      <c r="Q23" s="10">
        <v>0.5</v>
      </c>
      <c r="R23" s="11">
        <v>18.75</v>
      </c>
    </row>
    <row r="24" spans="1:18" x14ac:dyDescent="0.3">
      <c r="A24" s="7"/>
      <c r="B24" s="9" t="s">
        <v>418</v>
      </c>
      <c r="C24" s="9">
        <v>3</v>
      </c>
      <c r="D24" s="10"/>
      <c r="E24" s="10"/>
      <c r="F24" s="10"/>
      <c r="G24" s="10"/>
      <c r="H24" s="10">
        <v>5</v>
      </c>
      <c r="I24" s="10"/>
      <c r="J24" s="10"/>
      <c r="K24" s="10">
        <v>1</v>
      </c>
      <c r="L24" s="10"/>
      <c r="M24" s="10">
        <v>1</v>
      </c>
      <c r="N24" s="10"/>
      <c r="O24" s="10"/>
      <c r="P24" s="10">
        <v>4</v>
      </c>
      <c r="Q24" s="10"/>
      <c r="R24" s="11">
        <v>14</v>
      </c>
    </row>
    <row r="25" spans="1:18" x14ac:dyDescent="0.3">
      <c r="A25" s="7"/>
      <c r="B25" s="9" t="s">
        <v>419</v>
      </c>
      <c r="C25" s="9">
        <v>1</v>
      </c>
      <c r="D25" s="10"/>
      <c r="E25" s="10"/>
      <c r="F25" s="10"/>
      <c r="G25" s="10"/>
      <c r="H25" s="10">
        <v>4</v>
      </c>
      <c r="I25" s="10"/>
      <c r="J25" s="10">
        <v>2</v>
      </c>
      <c r="K25" s="10"/>
      <c r="L25" s="10"/>
      <c r="M25" s="10"/>
      <c r="N25" s="10"/>
      <c r="O25" s="10">
        <v>1</v>
      </c>
      <c r="P25" s="10"/>
      <c r="Q25" s="10"/>
      <c r="R25" s="11">
        <v>8</v>
      </c>
    </row>
    <row r="26" spans="1:18" x14ac:dyDescent="0.3">
      <c r="A26" s="7"/>
      <c r="B26" s="9" t="s">
        <v>420</v>
      </c>
      <c r="C26" s="9"/>
      <c r="D26" s="10"/>
      <c r="E26" s="10"/>
      <c r="F26" s="10"/>
      <c r="G26" s="10"/>
      <c r="H26" s="10">
        <v>4</v>
      </c>
      <c r="I26" s="10"/>
      <c r="J26" s="10"/>
      <c r="K26" s="10"/>
      <c r="L26" s="10"/>
      <c r="M26" s="10"/>
      <c r="N26" s="10"/>
      <c r="O26" s="10"/>
      <c r="P26" s="10"/>
      <c r="Q26" s="10"/>
      <c r="R26" s="11">
        <v>4</v>
      </c>
    </row>
    <row r="27" spans="1:18" x14ac:dyDescent="0.3">
      <c r="A27" s="7"/>
      <c r="B27" s="8" t="s">
        <v>421</v>
      </c>
      <c r="C27" s="9">
        <v>47</v>
      </c>
      <c r="D27" s="10">
        <v>13</v>
      </c>
      <c r="E27" s="10"/>
      <c r="F27" s="10"/>
      <c r="G27" s="10"/>
      <c r="H27" s="10"/>
      <c r="I27" s="10">
        <v>2</v>
      </c>
      <c r="J27" s="10"/>
      <c r="K27" s="10">
        <v>6</v>
      </c>
      <c r="L27" s="10"/>
      <c r="M27" s="10">
        <v>3</v>
      </c>
      <c r="N27" s="10"/>
      <c r="O27" s="10">
        <v>9</v>
      </c>
      <c r="P27" s="10"/>
      <c r="Q27" s="10"/>
      <c r="R27" s="11">
        <v>80</v>
      </c>
    </row>
    <row r="28" spans="1:18" x14ac:dyDescent="0.3">
      <c r="A28" s="7"/>
      <c r="B28" s="9" t="s">
        <v>422</v>
      </c>
      <c r="C28" s="9">
        <v>32</v>
      </c>
      <c r="D28" s="10"/>
      <c r="E28" s="10"/>
      <c r="F28" s="10"/>
      <c r="G28" s="10"/>
      <c r="H28" s="10">
        <v>31.3</v>
      </c>
      <c r="I28" s="10"/>
      <c r="J28" s="10">
        <v>1</v>
      </c>
      <c r="K28" s="10"/>
      <c r="L28" s="10"/>
      <c r="M28" s="10">
        <v>1</v>
      </c>
      <c r="N28" s="10"/>
      <c r="O28" s="10">
        <v>2</v>
      </c>
      <c r="P28" s="10"/>
      <c r="Q28" s="10"/>
      <c r="R28" s="11">
        <v>67.3</v>
      </c>
    </row>
    <row r="29" spans="1:18" x14ac:dyDescent="0.3">
      <c r="A29" s="7"/>
      <c r="B29" s="9" t="s">
        <v>423</v>
      </c>
      <c r="C29" s="9">
        <v>42</v>
      </c>
      <c r="D29" s="10"/>
      <c r="E29" s="10"/>
      <c r="F29" s="10"/>
      <c r="G29" s="10"/>
      <c r="H29" s="10">
        <v>47.25</v>
      </c>
      <c r="I29" s="10"/>
      <c r="J29" s="10"/>
      <c r="K29" s="10"/>
      <c r="L29" s="10"/>
      <c r="M29" s="10">
        <v>1</v>
      </c>
      <c r="N29" s="10"/>
      <c r="O29" s="10">
        <v>3</v>
      </c>
      <c r="P29" s="10"/>
      <c r="Q29" s="10"/>
      <c r="R29" s="11">
        <v>93.25</v>
      </c>
    </row>
    <row r="30" spans="1:18" x14ac:dyDescent="0.3">
      <c r="A30" s="7"/>
      <c r="B30" s="9" t="s">
        <v>424</v>
      </c>
      <c r="C30" s="9"/>
      <c r="D30" s="10"/>
      <c r="E30" s="10"/>
      <c r="F30" s="10"/>
      <c r="G30" s="10"/>
      <c r="H30" s="10">
        <v>45</v>
      </c>
      <c r="I30" s="10"/>
      <c r="J30" s="10"/>
      <c r="K30" s="10"/>
      <c r="L30" s="10"/>
      <c r="M30" s="10">
        <v>1</v>
      </c>
      <c r="N30" s="10"/>
      <c r="O30" s="10"/>
      <c r="P30" s="10"/>
      <c r="Q30" s="10"/>
      <c r="R30" s="11">
        <v>46</v>
      </c>
    </row>
    <row r="31" spans="1:18" x14ac:dyDescent="0.3">
      <c r="A31" s="7"/>
      <c r="B31" s="9" t="s">
        <v>425</v>
      </c>
      <c r="C31" s="9"/>
      <c r="D31" s="10"/>
      <c r="E31" s="10"/>
      <c r="F31" s="10"/>
      <c r="G31" s="10"/>
      <c r="H31" s="10">
        <v>0.25</v>
      </c>
      <c r="I31" s="10"/>
      <c r="J31" s="10"/>
      <c r="K31" s="10"/>
      <c r="L31" s="10"/>
      <c r="M31" s="10"/>
      <c r="N31" s="10">
        <v>1</v>
      </c>
      <c r="O31" s="10">
        <v>2</v>
      </c>
      <c r="P31" s="10"/>
      <c r="Q31" s="10"/>
      <c r="R31" s="11">
        <v>3.25</v>
      </c>
    </row>
    <row r="32" spans="1:18" x14ac:dyDescent="0.3">
      <c r="A32" s="7"/>
      <c r="B32" s="9" t="s">
        <v>426</v>
      </c>
      <c r="C32" s="9"/>
      <c r="D32" s="10"/>
      <c r="E32" s="10"/>
      <c r="F32" s="10"/>
      <c r="G32" s="10"/>
      <c r="H32" s="10">
        <v>2</v>
      </c>
      <c r="I32" s="10"/>
      <c r="J32" s="10"/>
      <c r="K32" s="10"/>
      <c r="L32" s="10"/>
      <c r="M32" s="10"/>
      <c r="N32" s="10"/>
      <c r="O32" s="10"/>
      <c r="P32" s="10"/>
      <c r="Q32" s="10"/>
      <c r="R32" s="11">
        <v>2</v>
      </c>
    </row>
    <row r="33" spans="1:18" x14ac:dyDescent="0.3">
      <c r="A33" s="7"/>
      <c r="B33" s="9" t="s">
        <v>427</v>
      </c>
      <c r="C33" s="9"/>
      <c r="D33" s="10"/>
      <c r="E33" s="10">
        <v>1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1">
        <v>1</v>
      </c>
    </row>
    <row r="34" spans="1:18" x14ac:dyDescent="0.3">
      <c r="A34" s="7"/>
      <c r="B34" s="9" t="s">
        <v>428</v>
      </c>
      <c r="C34" s="9"/>
      <c r="D34" s="10"/>
      <c r="E34" s="10">
        <v>2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1">
        <v>2</v>
      </c>
    </row>
    <row r="35" spans="1:18" x14ac:dyDescent="0.3">
      <c r="A35" s="7"/>
      <c r="B35" s="9" t="s">
        <v>429</v>
      </c>
      <c r="C35" s="9"/>
      <c r="D35" s="10"/>
      <c r="E35" s="10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1">
        <v>1</v>
      </c>
    </row>
    <row r="36" spans="1:18" x14ac:dyDescent="0.3">
      <c r="A36" s="7"/>
      <c r="B36" s="9" t="s">
        <v>430</v>
      </c>
      <c r="C36" s="9"/>
      <c r="D36" s="10"/>
      <c r="E36" s="10"/>
      <c r="F36" s="10"/>
      <c r="G36" s="10"/>
      <c r="H36" s="10"/>
      <c r="I36" s="10"/>
      <c r="J36" s="10"/>
      <c r="K36" s="10">
        <v>1</v>
      </c>
      <c r="L36" s="10"/>
      <c r="M36" s="10"/>
      <c r="N36" s="10"/>
      <c r="O36" s="10"/>
      <c r="P36" s="10"/>
      <c r="Q36" s="10"/>
      <c r="R36" s="11">
        <v>1</v>
      </c>
    </row>
    <row r="37" spans="1:18" x14ac:dyDescent="0.3">
      <c r="A37" s="7"/>
      <c r="B37" s="9" t="s">
        <v>431</v>
      </c>
      <c r="C37" s="9"/>
      <c r="D37" s="10"/>
      <c r="E37" s="10"/>
      <c r="F37" s="10"/>
      <c r="G37" s="10"/>
      <c r="H37" s="10">
        <v>1.5</v>
      </c>
      <c r="I37" s="10"/>
      <c r="J37" s="10"/>
      <c r="K37" s="10"/>
      <c r="L37" s="10"/>
      <c r="M37" s="10"/>
      <c r="N37" s="10"/>
      <c r="O37" s="10"/>
      <c r="P37" s="10"/>
      <c r="Q37" s="10"/>
      <c r="R37" s="11">
        <v>1.5</v>
      </c>
    </row>
    <row r="38" spans="1:18" x14ac:dyDescent="0.3">
      <c r="A38" s="7"/>
      <c r="B38" s="9" t="s">
        <v>432</v>
      </c>
      <c r="C38" s="9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>
        <v>1</v>
      </c>
      <c r="P38" s="10"/>
      <c r="Q38" s="10"/>
      <c r="R38" s="11">
        <v>1</v>
      </c>
    </row>
    <row r="39" spans="1:18" x14ac:dyDescent="0.3">
      <c r="A39" s="7"/>
      <c r="B39" s="9" t="s">
        <v>433</v>
      </c>
      <c r="C39" s="9"/>
      <c r="D39" s="10"/>
      <c r="E39" s="10"/>
      <c r="F39" s="10"/>
      <c r="G39" s="10"/>
      <c r="H39" s="10"/>
      <c r="I39" s="10"/>
      <c r="J39" s="10"/>
      <c r="K39" s="10"/>
      <c r="L39" s="10"/>
      <c r="M39" s="10">
        <v>1</v>
      </c>
      <c r="N39" s="10"/>
      <c r="O39" s="10"/>
      <c r="P39" s="10"/>
      <c r="Q39" s="10"/>
      <c r="R39" s="11">
        <v>1</v>
      </c>
    </row>
    <row r="40" spans="1:18" x14ac:dyDescent="0.3">
      <c r="A40" s="7"/>
      <c r="B40" s="9" t="s">
        <v>434</v>
      </c>
      <c r="C40" s="9">
        <v>2</v>
      </c>
      <c r="D40" s="10"/>
      <c r="E40" s="10"/>
      <c r="F40" s="10"/>
      <c r="G40" s="10"/>
      <c r="H40" s="10">
        <v>3</v>
      </c>
      <c r="I40" s="10"/>
      <c r="J40" s="10"/>
      <c r="K40" s="10"/>
      <c r="L40" s="10"/>
      <c r="M40" s="10"/>
      <c r="N40" s="10"/>
      <c r="O40" s="10"/>
      <c r="P40" s="10"/>
      <c r="Q40" s="10"/>
      <c r="R40" s="11">
        <v>5</v>
      </c>
    </row>
    <row r="41" spans="1:18" x14ac:dyDescent="0.3">
      <c r="A41" s="7"/>
      <c r="B41" s="9" t="s">
        <v>435</v>
      </c>
      <c r="C41" s="9"/>
      <c r="D41" s="10"/>
      <c r="E41" s="10"/>
      <c r="F41" s="10"/>
      <c r="G41" s="10">
        <v>8</v>
      </c>
      <c r="H41" s="10">
        <v>1</v>
      </c>
      <c r="I41" s="10"/>
      <c r="J41" s="10"/>
      <c r="K41" s="10"/>
      <c r="L41" s="10"/>
      <c r="M41" s="10"/>
      <c r="N41" s="10"/>
      <c r="O41" s="10"/>
      <c r="P41" s="10"/>
      <c r="Q41" s="10"/>
      <c r="R41" s="11">
        <v>9</v>
      </c>
    </row>
    <row r="42" spans="1:18" x14ac:dyDescent="0.3">
      <c r="A42" s="7"/>
      <c r="B42" s="9" t="s">
        <v>436</v>
      </c>
      <c r="C42" s="9"/>
      <c r="D42" s="10"/>
      <c r="E42" s="10"/>
      <c r="F42" s="10"/>
      <c r="G42" s="10">
        <v>10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1">
        <v>10</v>
      </c>
    </row>
    <row r="43" spans="1:18" x14ac:dyDescent="0.3">
      <c r="A43" s="7"/>
      <c r="B43" s="9" t="s">
        <v>437</v>
      </c>
      <c r="C43" s="9">
        <v>1</v>
      </c>
      <c r="D43" s="10"/>
      <c r="E43" s="10"/>
      <c r="F43" s="10"/>
      <c r="G43" s="10"/>
      <c r="H43" s="10">
        <v>1</v>
      </c>
      <c r="I43" s="10"/>
      <c r="J43" s="10"/>
      <c r="K43" s="10"/>
      <c r="L43" s="10"/>
      <c r="M43" s="10"/>
      <c r="N43" s="10"/>
      <c r="O43" s="10"/>
      <c r="P43" s="10"/>
      <c r="Q43" s="10"/>
      <c r="R43" s="11">
        <v>2</v>
      </c>
    </row>
    <row r="44" spans="1:18" x14ac:dyDescent="0.3">
      <c r="A44" s="7"/>
      <c r="B44" s="9" t="s">
        <v>438</v>
      </c>
      <c r="C44" s="9"/>
      <c r="D44" s="10"/>
      <c r="E44" s="10"/>
      <c r="F44" s="10"/>
      <c r="G44" s="10">
        <v>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>
        <v>9</v>
      </c>
    </row>
    <row r="45" spans="1:18" x14ac:dyDescent="0.3">
      <c r="A45" s="7"/>
      <c r="B45" s="9" t="s">
        <v>439</v>
      </c>
      <c r="C45" s="9">
        <v>1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1">
        <v>1</v>
      </c>
    </row>
    <row r="46" spans="1:18" x14ac:dyDescent="0.3">
      <c r="A46" s="7"/>
      <c r="B46" s="9" t="s">
        <v>440</v>
      </c>
      <c r="C46" s="9">
        <v>1</v>
      </c>
      <c r="D46" s="10"/>
      <c r="E46" s="10"/>
      <c r="F46" s="10"/>
      <c r="G46" s="10"/>
      <c r="H46" s="10">
        <v>1</v>
      </c>
      <c r="I46" s="10"/>
      <c r="J46" s="10"/>
      <c r="K46" s="10"/>
      <c r="L46" s="10"/>
      <c r="M46" s="10"/>
      <c r="N46" s="10"/>
      <c r="O46" s="10"/>
      <c r="P46" s="10"/>
      <c r="Q46" s="10"/>
      <c r="R46" s="11">
        <v>2</v>
      </c>
    </row>
    <row r="47" spans="1:18" x14ac:dyDescent="0.3">
      <c r="A47" s="7"/>
      <c r="B47" s="9" t="s">
        <v>441</v>
      </c>
      <c r="C47" s="9">
        <v>1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1">
        <v>1</v>
      </c>
    </row>
    <row r="48" spans="1:18" x14ac:dyDescent="0.3">
      <c r="A48" s="7"/>
      <c r="B48" s="9" t="s">
        <v>442</v>
      </c>
      <c r="C48" s="9">
        <v>3</v>
      </c>
      <c r="D48" s="10">
        <v>6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1">
        <v>9</v>
      </c>
    </row>
    <row r="49" spans="1:18" x14ac:dyDescent="0.3">
      <c r="A49" s="7"/>
      <c r="B49" s="9" t="s">
        <v>443</v>
      </c>
      <c r="C49" s="9"/>
      <c r="D49" s="10">
        <v>3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1">
        <v>3</v>
      </c>
    </row>
    <row r="50" spans="1:18" x14ac:dyDescent="0.3">
      <c r="A50" s="7"/>
      <c r="B50" s="9" t="s">
        <v>444</v>
      </c>
      <c r="C50" s="9">
        <v>2.5</v>
      </c>
      <c r="D50" s="10"/>
      <c r="E50" s="10"/>
      <c r="F50" s="10"/>
      <c r="G50" s="10"/>
      <c r="H50" s="10">
        <v>1</v>
      </c>
      <c r="I50" s="10"/>
      <c r="J50" s="10"/>
      <c r="K50" s="10"/>
      <c r="L50" s="10"/>
      <c r="M50" s="10"/>
      <c r="N50" s="10"/>
      <c r="O50" s="10"/>
      <c r="P50" s="10"/>
      <c r="Q50" s="10"/>
      <c r="R50" s="11">
        <v>3.5</v>
      </c>
    </row>
    <row r="51" spans="1:18" x14ac:dyDescent="0.3">
      <c r="A51" s="7"/>
      <c r="B51" s="9" t="s">
        <v>445</v>
      </c>
      <c r="C51" s="9"/>
      <c r="D51" s="10">
        <v>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1">
        <v>2</v>
      </c>
    </row>
    <row r="52" spans="1:18" x14ac:dyDescent="0.3">
      <c r="A52" s="7"/>
      <c r="B52" s="9" t="s">
        <v>446</v>
      </c>
      <c r="C52" s="9"/>
      <c r="D52" s="10"/>
      <c r="E52" s="10">
        <v>0.25</v>
      </c>
      <c r="F52" s="10"/>
      <c r="G52" s="10"/>
      <c r="H52" s="10"/>
      <c r="I52" s="10"/>
      <c r="J52" s="10"/>
      <c r="K52" s="10"/>
      <c r="L52" s="10"/>
      <c r="M52" s="10"/>
      <c r="N52" s="10">
        <v>0.75</v>
      </c>
      <c r="O52" s="10"/>
      <c r="P52" s="10"/>
      <c r="Q52" s="10"/>
      <c r="R52" s="11">
        <v>1</v>
      </c>
    </row>
    <row r="53" spans="1:18" x14ac:dyDescent="0.3">
      <c r="A53" s="7"/>
      <c r="B53" s="9" t="s">
        <v>447</v>
      </c>
      <c r="C53" s="9">
        <v>3</v>
      </c>
      <c r="D53" s="10"/>
      <c r="E53" s="10"/>
      <c r="F53" s="10"/>
      <c r="G53" s="10">
        <v>1</v>
      </c>
      <c r="H53" s="10">
        <v>1</v>
      </c>
      <c r="I53" s="10"/>
      <c r="J53" s="10"/>
      <c r="K53" s="10"/>
      <c r="L53" s="10"/>
      <c r="M53" s="10"/>
      <c r="N53" s="10"/>
      <c r="O53" s="10"/>
      <c r="P53" s="10"/>
      <c r="Q53" s="10"/>
      <c r="R53" s="11">
        <v>5</v>
      </c>
    </row>
    <row r="54" spans="1:18" x14ac:dyDescent="0.3">
      <c r="A54" s="7"/>
      <c r="B54" s="9" t="s">
        <v>448</v>
      </c>
      <c r="C54" s="9"/>
      <c r="D54" s="10"/>
      <c r="E54" s="10">
        <v>0.25</v>
      </c>
      <c r="F54" s="10"/>
      <c r="G54" s="10"/>
      <c r="H54" s="10"/>
      <c r="I54" s="10"/>
      <c r="J54" s="10"/>
      <c r="K54" s="10"/>
      <c r="L54" s="10"/>
      <c r="M54" s="10"/>
      <c r="N54" s="10">
        <v>0.75</v>
      </c>
      <c r="O54" s="10"/>
      <c r="P54" s="10"/>
      <c r="Q54" s="10"/>
      <c r="R54" s="11">
        <v>1</v>
      </c>
    </row>
    <row r="55" spans="1:18" x14ac:dyDescent="0.3">
      <c r="A55" s="7"/>
      <c r="B55" s="9" t="s">
        <v>449</v>
      </c>
      <c r="C55" s="9">
        <v>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</v>
      </c>
    </row>
    <row r="56" spans="1:18" x14ac:dyDescent="0.3">
      <c r="A56" s="7"/>
      <c r="B56" s="9" t="s">
        <v>450</v>
      </c>
      <c r="C56" s="9">
        <v>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1">
        <v>1</v>
      </c>
    </row>
    <row r="57" spans="1:18" x14ac:dyDescent="0.3">
      <c r="A57" s="7"/>
      <c r="B57" s="9" t="s">
        <v>451</v>
      </c>
      <c r="C57" s="9"/>
      <c r="D57" s="10"/>
      <c r="E57" s="10">
        <v>5</v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1">
        <v>5</v>
      </c>
    </row>
    <row r="58" spans="1:18" x14ac:dyDescent="0.3">
      <c r="A58" s="7"/>
      <c r="B58" s="9" t="s">
        <v>452</v>
      </c>
      <c r="C58" s="9"/>
      <c r="D58" s="10"/>
      <c r="E58" s="10">
        <v>0.75</v>
      </c>
      <c r="F58" s="10"/>
      <c r="G58" s="10"/>
      <c r="H58" s="10"/>
      <c r="I58" s="10"/>
      <c r="J58" s="10"/>
      <c r="K58" s="10"/>
      <c r="L58" s="10"/>
      <c r="M58" s="10"/>
      <c r="N58" s="10">
        <v>0.25</v>
      </c>
      <c r="O58" s="10"/>
      <c r="P58" s="10"/>
      <c r="Q58" s="10"/>
      <c r="R58" s="11">
        <v>1</v>
      </c>
    </row>
    <row r="59" spans="1:18" x14ac:dyDescent="0.3">
      <c r="A59" s="7"/>
      <c r="B59" s="9" t="s">
        <v>453</v>
      </c>
      <c r="C59" s="9"/>
      <c r="D59" s="10"/>
      <c r="E59" s="10"/>
      <c r="F59" s="10"/>
      <c r="G59" s="10"/>
      <c r="H59" s="10">
        <v>1</v>
      </c>
      <c r="I59" s="10">
        <v>0.5</v>
      </c>
      <c r="J59" s="10"/>
      <c r="K59" s="10"/>
      <c r="L59" s="10"/>
      <c r="M59" s="10"/>
      <c r="N59" s="10"/>
      <c r="O59" s="10"/>
      <c r="P59" s="10"/>
      <c r="Q59" s="10"/>
      <c r="R59" s="11">
        <v>1.5</v>
      </c>
    </row>
    <row r="60" spans="1:18" x14ac:dyDescent="0.3">
      <c r="A60" s="7"/>
      <c r="B60" s="9" t="s">
        <v>454</v>
      </c>
      <c r="C60" s="9">
        <v>1</v>
      </c>
      <c r="D60" s="10">
        <v>1</v>
      </c>
      <c r="E60" s="10"/>
      <c r="F60" s="10"/>
      <c r="G60" s="10"/>
      <c r="H60" s="10">
        <v>5.9</v>
      </c>
      <c r="I60" s="10"/>
      <c r="J60" s="10"/>
      <c r="K60" s="10"/>
      <c r="L60" s="10"/>
      <c r="M60" s="10"/>
      <c r="N60" s="10"/>
      <c r="O60" s="10"/>
      <c r="P60" s="10"/>
      <c r="Q60" s="10"/>
      <c r="R60" s="11">
        <v>7.9</v>
      </c>
    </row>
    <row r="61" spans="1:18" x14ac:dyDescent="0.3">
      <c r="A61" s="7"/>
      <c r="B61" s="9" t="s">
        <v>455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1">
        <v>1</v>
      </c>
    </row>
    <row r="62" spans="1:18" x14ac:dyDescent="0.3">
      <c r="A62" s="7"/>
      <c r="B62" s="9" t="s">
        <v>456</v>
      </c>
      <c r="C62" s="9">
        <v>3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1">
        <v>3</v>
      </c>
    </row>
    <row r="63" spans="1:18" x14ac:dyDescent="0.3">
      <c r="A63" s="7"/>
      <c r="B63" s="9" t="s">
        <v>457</v>
      </c>
      <c r="C63" s="9"/>
      <c r="D63" s="10"/>
      <c r="E63" s="10"/>
      <c r="F63" s="10"/>
      <c r="G63" s="10"/>
      <c r="H63" s="10">
        <v>1</v>
      </c>
      <c r="I63" s="10"/>
      <c r="J63" s="10"/>
      <c r="K63" s="10"/>
      <c r="L63" s="10"/>
      <c r="M63" s="10"/>
      <c r="N63" s="10"/>
      <c r="O63" s="10"/>
      <c r="P63" s="10"/>
      <c r="Q63" s="10"/>
      <c r="R63" s="11">
        <v>1</v>
      </c>
    </row>
    <row r="64" spans="1:18" x14ac:dyDescent="0.3">
      <c r="A64" s="7"/>
      <c r="B64" s="9" t="s">
        <v>458</v>
      </c>
      <c r="C64" s="9"/>
      <c r="D64" s="10"/>
      <c r="E64" s="10"/>
      <c r="F64" s="10"/>
      <c r="G64" s="10"/>
      <c r="H64" s="10"/>
      <c r="I64" s="10"/>
      <c r="J64" s="10"/>
      <c r="K64" s="10">
        <v>1</v>
      </c>
      <c r="L64" s="10"/>
      <c r="M64" s="10"/>
      <c r="N64" s="10"/>
      <c r="O64" s="10"/>
      <c r="P64" s="10"/>
      <c r="Q64" s="10"/>
      <c r="R64" s="11">
        <v>1</v>
      </c>
    </row>
    <row r="65" spans="1:18" x14ac:dyDescent="0.3">
      <c r="A65" s="7"/>
      <c r="B65" s="9" t="s">
        <v>459</v>
      </c>
      <c r="C65" s="9"/>
      <c r="D65" s="10"/>
      <c r="E65" s="10"/>
      <c r="F65" s="10"/>
      <c r="G65" s="10"/>
      <c r="H65" s="10">
        <v>2</v>
      </c>
      <c r="I65" s="10"/>
      <c r="J65" s="10"/>
      <c r="K65" s="10"/>
      <c r="L65" s="10"/>
      <c r="M65" s="10"/>
      <c r="N65" s="10"/>
      <c r="O65" s="10"/>
      <c r="P65" s="10"/>
      <c r="Q65" s="10"/>
      <c r="R65" s="11">
        <v>2</v>
      </c>
    </row>
    <row r="66" spans="1:18" x14ac:dyDescent="0.3">
      <c r="A66" s="7"/>
      <c r="B66" s="9" t="s">
        <v>460</v>
      </c>
      <c r="C66" s="9"/>
      <c r="D66" s="10">
        <v>3</v>
      </c>
      <c r="E66" s="10"/>
      <c r="F66" s="10">
        <v>5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>
        <v>6</v>
      </c>
      <c r="R66" s="11">
        <v>14</v>
      </c>
    </row>
    <row r="67" spans="1:18" x14ac:dyDescent="0.3">
      <c r="A67" s="7"/>
      <c r="B67" s="9" t="s">
        <v>461</v>
      </c>
      <c r="C67" s="9"/>
      <c r="D67" s="10"/>
      <c r="E67" s="10"/>
      <c r="F67" s="10"/>
      <c r="G67" s="10"/>
      <c r="H67" s="10">
        <v>1</v>
      </c>
      <c r="I67" s="10"/>
      <c r="J67" s="10"/>
      <c r="K67" s="10"/>
      <c r="L67" s="10"/>
      <c r="M67" s="10"/>
      <c r="N67" s="10"/>
      <c r="O67" s="10"/>
      <c r="P67" s="10"/>
      <c r="Q67" s="10"/>
      <c r="R67" s="11">
        <v>1</v>
      </c>
    </row>
    <row r="68" spans="1:18" x14ac:dyDescent="0.3">
      <c r="A68" s="7"/>
      <c r="B68" s="9" t="s">
        <v>462</v>
      </c>
      <c r="C68" s="9">
        <v>1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>
        <v>1</v>
      </c>
      <c r="R68" s="11">
        <v>2</v>
      </c>
    </row>
    <row r="69" spans="1:18" x14ac:dyDescent="0.3">
      <c r="A69" s="7"/>
      <c r="B69" s="9" t="s">
        <v>463</v>
      </c>
      <c r="C69" s="9"/>
      <c r="D69" s="10"/>
      <c r="E69" s="10"/>
      <c r="F69" s="10">
        <v>1</v>
      </c>
      <c r="G69" s="10"/>
      <c r="H69" s="10"/>
      <c r="I69" s="10"/>
      <c r="J69" s="10"/>
      <c r="K69" s="10">
        <v>1</v>
      </c>
      <c r="L69" s="10"/>
      <c r="M69" s="10"/>
      <c r="N69" s="10">
        <v>4</v>
      </c>
      <c r="O69" s="10"/>
      <c r="P69" s="10"/>
      <c r="Q69" s="10"/>
      <c r="R69" s="11">
        <v>6</v>
      </c>
    </row>
    <row r="70" spans="1:18" x14ac:dyDescent="0.3">
      <c r="A70" s="7"/>
      <c r="B70" s="9" t="s">
        <v>464</v>
      </c>
      <c r="C70" s="9">
        <v>1</v>
      </c>
      <c r="D70" s="10"/>
      <c r="E70" s="10"/>
      <c r="F70" s="10">
        <v>3</v>
      </c>
      <c r="G70" s="10"/>
      <c r="H70" s="10">
        <v>1</v>
      </c>
      <c r="I70" s="10"/>
      <c r="J70" s="10"/>
      <c r="K70" s="10">
        <v>4</v>
      </c>
      <c r="L70" s="10"/>
      <c r="M70" s="10"/>
      <c r="N70" s="10"/>
      <c r="O70" s="10"/>
      <c r="P70" s="10"/>
      <c r="Q70" s="10"/>
      <c r="R70" s="11">
        <v>9</v>
      </c>
    </row>
    <row r="71" spans="1:18" x14ac:dyDescent="0.3">
      <c r="A71" s="7"/>
      <c r="B71" s="9" t="s">
        <v>465</v>
      </c>
      <c r="C71" s="9">
        <v>8</v>
      </c>
      <c r="D71" s="10"/>
      <c r="E71" s="10"/>
      <c r="F71" s="10"/>
      <c r="G71" s="10"/>
      <c r="H71" s="10">
        <v>6</v>
      </c>
      <c r="I71" s="10"/>
      <c r="J71" s="10"/>
      <c r="K71" s="10"/>
      <c r="L71" s="10"/>
      <c r="M71" s="10"/>
      <c r="N71" s="10"/>
      <c r="O71" s="10"/>
      <c r="P71" s="10"/>
      <c r="Q71" s="10"/>
      <c r="R71" s="11">
        <v>14</v>
      </c>
    </row>
    <row r="72" spans="1:18" x14ac:dyDescent="0.3">
      <c r="A72" s="7"/>
      <c r="B72" s="9" t="s">
        <v>466</v>
      </c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>
        <v>2</v>
      </c>
      <c r="N72" s="10"/>
      <c r="O72" s="10"/>
      <c r="P72" s="10"/>
      <c r="Q72" s="10"/>
      <c r="R72" s="11">
        <v>2</v>
      </c>
    </row>
    <row r="73" spans="1:18" x14ac:dyDescent="0.3">
      <c r="A73" s="7"/>
      <c r="B73" s="9" t="s">
        <v>467</v>
      </c>
      <c r="C73" s="9"/>
      <c r="D73" s="10"/>
      <c r="E73" s="10">
        <v>5</v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1">
        <v>5</v>
      </c>
    </row>
    <row r="74" spans="1:18" x14ac:dyDescent="0.3">
      <c r="A74" s="7"/>
      <c r="B74" s="9" t="s">
        <v>468</v>
      </c>
      <c r="C74" s="9"/>
      <c r="D74" s="10"/>
      <c r="E74" s="10"/>
      <c r="F74" s="10"/>
      <c r="G74" s="10">
        <v>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1">
        <v>2</v>
      </c>
    </row>
    <row r="75" spans="1:18" x14ac:dyDescent="0.3">
      <c r="A75" s="7"/>
      <c r="B75" s="9" t="s">
        <v>469</v>
      </c>
      <c r="C75" s="9"/>
      <c r="D75" s="10"/>
      <c r="E75" s="10"/>
      <c r="F75" s="10"/>
      <c r="G75" s="10">
        <v>5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1">
        <v>5</v>
      </c>
    </row>
    <row r="76" spans="1:18" x14ac:dyDescent="0.3">
      <c r="A76" s="7"/>
      <c r="B76" s="9" t="s">
        <v>470</v>
      </c>
      <c r="C76" s="9">
        <v>8</v>
      </c>
      <c r="D76" s="10"/>
      <c r="E76" s="10"/>
      <c r="F76" s="10"/>
      <c r="G76" s="10"/>
      <c r="H76" s="10">
        <v>2</v>
      </c>
      <c r="I76" s="10"/>
      <c r="J76" s="10"/>
      <c r="K76" s="10"/>
      <c r="L76" s="10"/>
      <c r="M76" s="10"/>
      <c r="N76" s="10"/>
      <c r="O76" s="10"/>
      <c r="P76" s="10"/>
      <c r="Q76" s="10"/>
      <c r="R76" s="11">
        <v>10</v>
      </c>
    </row>
    <row r="77" spans="1:18" x14ac:dyDescent="0.3">
      <c r="A77" s="7"/>
      <c r="B77" s="9" t="s">
        <v>471</v>
      </c>
      <c r="C77" s="9">
        <v>3</v>
      </c>
      <c r="D77" s="10"/>
      <c r="E77" s="10"/>
      <c r="F77" s="10"/>
      <c r="G77" s="10">
        <v>24</v>
      </c>
      <c r="H77" s="10">
        <v>4</v>
      </c>
      <c r="I77" s="10"/>
      <c r="J77" s="10"/>
      <c r="K77" s="10"/>
      <c r="L77" s="10"/>
      <c r="M77" s="10"/>
      <c r="N77" s="10"/>
      <c r="O77" s="10"/>
      <c r="P77" s="10"/>
      <c r="Q77" s="10"/>
      <c r="R77" s="11">
        <v>31</v>
      </c>
    </row>
    <row r="78" spans="1:18" x14ac:dyDescent="0.3">
      <c r="A78" s="7"/>
      <c r="B78" s="9" t="s">
        <v>472</v>
      </c>
      <c r="C78" s="9"/>
      <c r="D78" s="10"/>
      <c r="E78" s="10"/>
      <c r="F78" s="10"/>
      <c r="G78" s="10"/>
      <c r="H78" s="10"/>
      <c r="I78" s="10"/>
      <c r="J78" s="10"/>
      <c r="K78" s="10">
        <v>2</v>
      </c>
      <c r="L78" s="10"/>
      <c r="M78" s="10"/>
      <c r="N78" s="10"/>
      <c r="O78" s="10"/>
      <c r="P78" s="10"/>
      <c r="Q78" s="10"/>
      <c r="R78" s="11">
        <v>2</v>
      </c>
    </row>
    <row r="79" spans="1:18" x14ac:dyDescent="0.3">
      <c r="A79" s="7"/>
      <c r="B79" s="9" t="s">
        <v>473</v>
      </c>
      <c r="C79" s="9"/>
      <c r="D79" s="10"/>
      <c r="E79" s="10"/>
      <c r="F79" s="10"/>
      <c r="G79" s="10">
        <v>39.5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1">
        <v>39.5</v>
      </c>
    </row>
    <row r="80" spans="1:18" x14ac:dyDescent="0.3">
      <c r="A80" s="7"/>
      <c r="B80" s="9" t="s">
        <v>474</v>
      </c>
      <c r="C80" s="9"/>
      <c r="D80" s="10"/>
      <c r="E80" s="10"/>
      <c r="F80" s="10"/>
      <c r="G80" s="10">
        <v>252.5</v>
      </c>
      <c r="H80" s="10">
        <v>2</v>
      </c>
      <c r="I80" s="10"/>
      <c r="J80" s="10"/>
      <c r="K80" s="10"/>
      <c r="L80" s="10"/>
      <c r="M80" s="10"/>
      <c r="N80" s="10"/>
      <c r="O80" s="10">
        <v>6</v>
      </c>
      <c r="P80" s="10"/>
      <c r="Q80" s="10"/>
      <c r="R80" s="11">
        <v>260.5</v>
      </c>
    </row>
    <row r="81" spans="1:18" x14ac:dyDescent="0.3">
      <c r="A81" s="7"/>
      <c r="B81" s="9" t="s">
        <v>475</v>
      </c>
      <c r="C81" s="9"/>
      <c r="D81" s="10"/>
      <c r="E81" s="10"/>
      <c r="F81" s="10"/>
      <c r="G81" s="10">
        <v>244</v>
      </c>
      <c r="H81" s="10">
        <v>3</v>
      </c>
      <c r="I81" s="10"/>
      <c r="J81" s="10"/>
      <c r="K81" s="10"/>
      <c r="L81" s="10"/>
      <c r="M81" s="10"/>
      <c r="N81" s="10">
        <v>8</v>
      </c>
      <c r="O81" s="10">
        <v>3</v>
      </c>
      <c r="P81" s="10"/>
      <c r="Q81" s="10"/>
      <c r="R81" s="11">
        <v>258</v>
      </c>
    </row>
    <row r="82" spans="1:18" x14ac:dyDescent="0.3">
      <c r="A82" s="7"/>
      <c r="B82" s="9" t="s">
        <v>476</v>
      </c>
      <c r="C82" s="9">
        <v>4</v>
      </c>
      <c r="D82" s="10"/>
      <c r="E82" s="10"/>
      <c r="F82" s="10">
        <v>1</v>
      </c>
      <c r="G82" s="10"/>
      <c r="H82" s="10">
        <v>1</v>
      </c>
      <c r="I82" s="10"/>
      <c r="J82" s="10"/>
      <c r="K82" s="10">
        <v>1</v>
      </c>
      <c r="L82" s="10"/>
      <c r="M82" s="10"/>
      <c r="N82" s="10"/>
      <c r="O82" s="10"/>
      <c r="P82" s="10"/>
      <c r="Q82" s="10"/>
      <c r="R82" s="11">
        <v>7</v>
      </c>
    </row>
    <row r="83" spans="1:18" x14ac:dyDescent="0.3">
      <c r="A83" s="7"/>
      <c r="B83" s="9" t="s">
        <v>477</v>
      </c>
      <c r="C83" s="9">
        <v>3</v>
      </c>
      <c r="D83" s="10">
        <v>2</v>
      </c>
      <c r="E83" s="10"/>
      <c r="F83" s="10"/>
      <c r="G83" s="10"/>
      <c r="H83" s="10">
        <v>3</v>
      </c>
      <c r="I83" s="10"/>
      <c r="J83" s="10">
        <v>5</v>
      </c>
      <c r="K83" s="10">
        <v>1</v>
      </c>
      <c r="L83" s="10"/>
      <c r="M83" s="10"/>
      <c r="N83" s="10"/>
      <c r="O83" s="10"/>
      <c r="P83" s="10"/>
      <c r="Q83" s="10">
        <v>2</v>
      </c>
      <c r="R83" s="11">
        <v>16</v>
      </c>
    </row>
    <row r="84" spans="1:18" x14ac:dyDescent="0.3">
      <c r="A84" s="7"/>
      <c r="B84" s="9" t="s">
        <v>478</v>
      </c>
      <c r="C84" s="9">
        <v>8</v>
      </c>
      <c r="D84" s="10">
        <v>2</v>
      </c>
      <c r="E84" s="10"/>
      <c r="F84" s="10"/>
      <c r="G84" s="10"/>
      <c r="H84" s="10">
        <v>11</v>
      </c>
      <c r="I84" s="10"/>
      <c r="J84" s="10">
        <v>1</v>
      </c>
      <c r="K84" s="10"/>
      <c r="L84" s="10"/>
      <c r="M84" s="10"/>
      <c r="N84" s="10"/>
      <c r="O84" s="10"/>
      <c r="P84" s="10"/>
      <c r="Q84" s="10"/>
      <c r="R84" s="11">
        <v>22</v>
      </c>
    </row>
    <row r="85" spans="1:18" x14ac:dyDescent="0.3">
      <c r="A85" s="7"/>
      <c r="B85" s="9" t="s">
        <v>479</v>
      </c>
      <c r="C85" s="9">
        <v>1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1">
        <v>1</v>
      </c>
    </row>
    <row r="86" spans="1:18" x14ac:dyDescent="0.3">
      <c r="A86" s="7"/>
      <c r="B86" s="9" t="s">
        <v>480</v>
      </c>
      <c r="C86" s="9">
        <v>2</v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1">
        <v>2</v>
      </c>
    </row>
    <row r="87" spans="1:18" x14ac:dyDescent="0.3">
      <c r="A87" s="7"/>
      <c r="B87" s="9" t="s">
        <v>481</v>
      </c>
      <c r="C87" s="9">
        <v>1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1">
        <v>1</v>
      </c>
    </row>
    <row r="88" spans="1:18" x14ac:dyDescent="0.3">
      <c r="A88" s="7"/>
      <c r="B88" s="9" t="s">
        <v>482</v>
      </c>
      <c r="C88" s="9">
        <v>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1">
        <v>1</v>
      </c>
    </row>
    <row r="89" spans="1:18" x14ac:dyDescent="0.3">
      <c r="A89" s="7"/>
      <c r="B89" s="9" t="s">
        <v>483</v>
      </c>
      <c r="C89" s="9">
        <v>2</v>
      </c>
      <c r="D89" s="10"/>
      <c r="E89" s="10"/>
      <c r="F89" s="10"/>
      <c r="G89" s="10"/>
      <c r="H89" s="10">
        <v>1</v>
      </c>
      <c r="I89" s="10"/>
      <c r="J89" s="10"/>
      <c r="K89" s="10"/>
      <c r="L89" s="10"/>
      <c r="M89" s="10"/>
      <c r="N89" s="10"/>
      <c r="O89" s="10">
        <v>1</v>
      </c>
      <c r="P89" s="10"/>
      <c r="Q89" s="10"/>
      <c r="R89" s="11">
        <v>4</v>
      </c>
    </row>
    <row r="90" spans="1:18" x14ac:dyDescent="0.3">
      <c r="A90" s="7"/>
      <c r="B90" s="9" t="s">
        <v>484</v>
      </c>
      <c r="C90" s="9">
        <v>8</v>
      </c>
      <c r="D90" s="10"/>
      <c r="E90" s="10"/>
      <c r="F90" s="10"/>
      <c r="G90" s="10"/>
      <c r="H90" s="10">
        <v>2</v>
      </c>
      <c r="I90" s="10"/>
      <c r="J90" s="10"/>
      <c r="K90" s="10"/>
      <c r="L90" s="10"/>
      <c r="M90" s="10"/>
      <c r="N90" s="10"/>
      <c r="O90" s="10"/>
      <c r="P90" s="10"/>
      <c r="Q90" s="10"/>
      <c r="R90" s="11">
        <v>10</v>
      </c>
    </row>
    <row r="91" spans="1:18" x14ac:dyDescent="0.3">
      <c r="A91" s="7"/>
      <c r="B91" s="9" t="s">
        <v>485</v>
      </c>
      <c r="C91" s="9"/>
      <c r="D91" s="10"/>
      <c r="E91" s="10">
        <v>1</v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1">
        <v>1</v>
      </c>
    </row>
    <row r="92" spans="1:18" x14ac:dyDescent="0.3">
      <c r="A92" s="7"/>
      <c r="B92" s="9" t="s">
        <v>486</v>
      </c>
      <c r="C92" s="9">
        <v>6</v>
      </c>
      <c r="D92" s="10"/>
      <c r="E92" s="10"/>
      <c r="F92" s="10"/>
      <c r="G92" s="10"/>
      <c r="H92" s="10"/>
      <c r="I92" s="10"/>
      <c r="J92" s="10"/>
      <c r="K92" s="10"/>
      <c r="L92" s="10">
        <v>1</v>
      </c>
      <c r="M92" s="10"/>
      <c r="N92" s="10"/>
      <c r="O92" s="10"/>
      <c r="P92" s="10"/>
      <c r="Q92" s="10"/>
      <c r="R92" s="11">
        <v>7</v>
      </c>
    </row>
    <row r="93" spans="1:18" x14ac:dyDescent="0.3">
      <c r="A93" s="7"/>
      <c r="B93" s="9" t="s">
        <v>487</v>
      </c>
      <c r="C93" s="9">
        <v>1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1">
        <v>1</v>
      </c>
    </row>
    <row r="94" spans="1:18" x14ac:dyDescent="0.3">
      <c r="A94" s="7"/>
      <c r="B94" s="9" t="s">
        <v>488</v>
      </c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>
        <v>1</v>
      </c>
      <c r="O94" s="10"/>
      <c r="P94" s="10"/>
      <c r="Q94" s="10"/>
      <c r="R94" s="11">
        <v>1</v>
      </c>
    </row>
    <row r="95" spans="1:18" x14ac:dyDescent="0.3">
      <c r="A95" s="7"/>
      <c r="B95" s="9" t="s">
        <v>489</v>
      </c>
      <c r="C95" s="9">
        <v>1</v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1">
        <v>1</v>
      </c>
    </row>
    <row r="96" spans="1:18" x14ac:dyDescent="0.3">
      <c r="A96" s="7"/>
      <c r="B96" s="8" t="s">
        <v>490</v>
      </c>
      <c r="C96" s="9">
        <v>9</v>
      </c>
      <c r="D96" s="10"/>
      <c r="E96" s="10">
        <v>3</v>
      </c>
      <c r="F96" s="10"/>
      <c r="G96" s="10">
        <v>1</v>
      </c>
      <c r="H96" s="10"/>
      <c r="I96" s="10">
        <v>1</v>
      </c>
      <c r="J96" s="10"/>
      <c r="K96" s="10">
        <v>5.5</v>
      </c>
      <c r="L96" s="10"/>
      <c r="M96" s="10"/>
      <c r="N96" s="10"/>
      <c r="O96" s="10"/>
      <c r="P96" s="10"/>
      <c r="Q96" s="10">
        <v>2</v>
      </c>
      <c r="R96" s="11">
        <v>21.5</v>
      </c>
    </row>
    <row r="97" spans="1:18" x14ac:dyDescent="0.3">
      <c r="A97" s="7"/>
      <c r="B97" s="9" t="s">
        <v>491</v>
      </c>
      <c r="C97" s="9"/>
      <c r="D97" s="10">
        <v>2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1">
        <v>2</v>
      </c>
    </row>
    <row r="98" spans="1:18" x14ac:dyDescent="0.3">
      <c r="A98" s="7"/>
      <c r="B98" s="9" t="s">
        <v>492</v>
      </c>
      <c r="C98" s="9">
        <v>21</v>
      </c>
      <c r="D98" s="10"/>
      <c r="E98" s="10">
        <v>1</v>
      </c>
      <c r="F98" s="10"/>
      <c r="G98" s="10"/>
      <c r="H98" s="10">
        <v>3</v>
      </c>
      <c r="I98" s="10">
        <v>1</v>
      </c>
      <c r="J98" s="10"/>
      <c r="K98" s="10">
        <v>5</v>
      </c>
      <c r="L98" s="10"/>
      <c r="M98" s="10"/>
      <c r="N98" s="10">
        <v>1</v>
      </c>
      <c r="O98" s="10"/>
      <c r="P98" s="10"/>
      <c r="Q98" s="10">
        <v>3</v>
      </c>
      <c r="R98" s="11">
        <v>35</v>
      </c>
    </row>
    <row r="99" spans="1:18" x14ac:dyDescent="0.3">
      <c r="A99" s="7"/>
      <c r="B99" s="8" t="s">
        <v>493</v>
      </c>
      <c r="C99" s="9">
        <v>4</v>
      </c>
      <c r="D99" s="10"/>
      <c r="E99" s="10"/>
      <c r="F99" s="10"/>
      <c r="G99" s="10"/>
      <c r="H99" s="10">
        <v>1.1000000000000001</v>
      </c>
      <c r="I99" s="10"/>
      <c r="J99" s="10">
        <v>1</v>
      </c>
      <c r="K99" s="10"/>
      <c r="L99" s="10">
        <v>1</v>
      </c>
      <c r="M99" s="10"/>
      <c r="N99" s="10"/>
      <c r="O99" s="10"/>
      <c r="P99" s="10"/>
      <c r="Q99" s="10">
        <v>1</v>
      </c>
      <c r="R99" s="11">
        <v>8.1</v>
      </c>
    </row>
    <row r="100" spans="1:18" x14ac:dyDescent="0.3">
      <c r="A100" s="7"/>
      <c r="B100" s="9" t="s">
        <v>494</v>
      </c>
      <c r="C100" s="9">
        <v>9</v>
      </c>
      <c r="D100" s="10"/>
      <c r="E100" s="10"/>
      <c r="F100" s="10">
        <v>3</v>
      </c>
      <c r="G100" s="10"/>
      <c r="H100" s="10">
        <v>18.100000000000001</v>
      </c>
      <c r="I100" s="10">
        <v>1</v>
      </c>
      <c r="J100" s="10">
        <v>3</v>
      </c>
      <c r="K100" s="10"/>
      <c r="L100" s="10">
        <v>2</v>
      </c>
      <c r="M100" s="10"/>
      <c r="N100" s="10"/>
      <c r="O100" s="10"/>
      <c r="P100" s="10"/>
      <c r="Q100" s="10">
        <v>1</v>
      </c>
      <c r="R100" s="11">
        <v>37.1</v>
      </c>
    </row>
    <row r="101" spans="1:18" x14ac:dyDescent="0.3">
      <c r="A101" s="7"/>
      <c r="B101" s="9" t="s">
        <v>495</v>
      </c>
      <c r="C101" s="9"/>
      <c r="D101" s="10">
        <v>4</v>
      </c>
      <c r="E101" s="10"/>
      <c r="F101" s="10"/>
      <c r="G101" s="10">
        <v>2</v>
      </c>
      <c r="H101" s="10">
        <v>3</v>
      </c>
      <c r="I101" s="10"/>
      <c r="J101" s="10"/>
      <c r="K101" s="10"/>
      <c r="L101" s="10"/>
      <c r="M101" s="10"/>
      <c r="N101" s="10"/>
      <c r="O101" s="10"/>
      <c r="P101" s="10"/>
      <c r="Q101" s="10"/>
      <c r="R101" s="11">
        <v>9</v>
      </c>
    </row>
    <row r="102" spans="1:18" x14ac:dyDescent="0.3">
      <c r="A102" s="7"/>
      <c r="B102" s="9" t="s">
        <v>496</v>
      </c>
      <c r="C102" s="9"/>
      <c r="D102" s="10"/>
      <c r="E102" s="10">
        <v>0.25</v>
      </c>
      <c r="F102" s="10"/>
      <c r="G102" s="10"/>
      <c r="H102" s="10"/>
      <c r="I102" s="10"/>
      <c r="J102" s="10"/>
      <c r="K102" s="10"/>
      <c r="L102" s="10"/>
      <c r="M102" s="10"/>
      <c r="N102" s="10">
        <v>0.75</v>
      </c>
      <c r="O102" s="10"/>
      <c r="P102" s="10"/>
      <c r="Q102" s="10"/>
      <c r="R102" s="11">
        <v>1</v>
      </c>
    </row>
    <row r="103" spans="1:18" x14ac:dyDescent="0.3">
      <c r="A103" s="7"/>
      <c r="B103" s="9" t="s">
        <v>497</v>
      </c>
      <c r="C103" s="9">
        <v>1</v>
      </c>
      <c r="D103" s="10"/>
      <c r="E103" s="10"/>
      <c r="F103" s="10"/>
      <c r="G103" s="10"/>
      <c r="H103" s="10">
        <v>2</v>
      </c>
      <c r="I103" s="10"/>
      <c r="J103" s="10"/>
      <c r="K103" s="10"/>
      <c r="L103" s="10"/>
      <c r="M103" s="10"/>
      <c r="N103" s="10"/>
      <c r="O103" s="10"/>
      <c r="P103" s="10"/>
      <c r="Q103" s="10"/>
      <c r="R103" s="11">
        <v>3</v>
      </c>
    </row>
    <row r="104" spans="1:18" x14ac:dyDescent="0.3">
      <c r="A104" s="7"/>
      <c r="B104" s="9" t="s">
        <v>498</v>
      </c>
      <c r="C104" s="9"/>
      <c r="D104" s="10"/>
      <c r="E104" s="10">
        <v>0.25</v>
      </c>
      <c r="F104" s="10"/>
      <c r="G104" s="10"/>
      <c r="H104" s="10"/>
      <c r="I104" s="10"/>
      <c r="J104" s="10"/>
      <c r="K104" s="10"/>
      <c r="L104" s="10"/>
      <c r="M104" s="10"/>
      <c r="N104" s="10">
        <v>0.75</v>
      </c>
      <c r="O104" s="10"/>
      <c r="P104" s="10"/>
      <c r="Q104" s="10"/>
      <c r="R104" s="11">
        <v>1</v>
      </c>
    </row>
    <row r="105" spans="1:18" x14ac:dyDescent="0.3">
      <c r="A105" s="7"/>
      <c r="B105" s="9" t="s">
        <v>499</v>
      </c>
      <c r="C105" s="9"/>
      <c r="D105" s="10"/>
      <c r="E105" s="10"/>
      <c r="F105" s="10"/>
      <c r="G105" s="10">
        <v>1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1">
        <v>1</v>
      </c>
    </row>
    <row r="106" spans="1:18" x14ac:dyDescent="0.3">
      <c r="A106" s="7"/>
      <c r="B106" s="9" t="s">
        <v>500</v>
      </c>
      <c r="C106" s="9">
        <v>2</v>
      </c>
      <c r="D106" s="10"/>
      <c r="E106" s="10"/>
      <c r="F106" s="10"/>
      <c r="G106" s="10"/>
      <c r="H106" s="10"/>
      <c r="I106" s="10"/>
      <c r="J106" s="10"/>
      <c r="K106" s="10">
        <v>1</v>
      </c>
      <c r="L106" s="10"/>
      <c r="M106" s="10">
        <v>1</v>
      </c>
      <c r="N106" s="10"/>
      <c r="O106" s="10"/>
      <c r="P106" s="10"/>
      <c r="Q106" s="10"/>
      <c r="R106" s="11">
        <v>4</v>
      </c>
    </row>
    <row r="107" spans="1:18" x14ac:dyDescent="0.3">
      <c r="A107" s="7"/>
      <c r="B107" s="9" t="s">
        <v>501</v>
      </c>
      <c r="C107" s="9"/>
      <c r="D107" s="10">
        <v>1</v>
      </c>
      <c r="E107" s="10"/>
      <c r="F107" s="10"/>
      <c r="G107" s="10"/>
      <c r="H107" s="10"/>
      <c r="I107" s="10">
        <v>2</v>
      </c>
      <c r="J107" s="10"/>
      <c r="K107" s="10"/>
      <c r="L107" s="10"/>
      <c r="M107" s="10"/>
      <c r="N107" s="10"/>
      <c r="O107" s="10">
        <v>1</v>
      </c>
      <c r="P107" s="10"/>
      <c r="Q107" s="10"/>
      <c r="R107" s="11">
        <v>4</v>
      </c>
    </row>
    <row r="108" spans="1:18" x14ac:dyDescent="0.3">
      <c r="A108" s="7"/>
      <c r="B108" s="9" t="s">
        <v>502</v>
      </c>
      <c r="C108" s="9"/>
      <c r="D108" s="10"/>
      <c r="E108" s="10"/>
      <c r="F108" s="10"/>
      <c r="G108" s="10"/>
      <c r="H108" s="10">
        <v>40</v>
      </c>
      <c r="I108" s="10"/>
      <c r="J108" s="10">
        <v>1</v>
      </c>
      <c r="K108" s="10">
        <v>2</v>
      </c>
      <c r="L108" s="10"/>
      <c r="M108" s="10">
        <v>47</v>
      </c>
      <c r="N108" s="10"/>
      <c r="O108" s="10"/>
      <c r="P108" s="10"/>
      <c r="Q108" s="10"/>
      <c r="R108" s="11">
        <v>90</v>
      </c>
    </row>
    <row r="109" spans="1:18" x14ac:dyDescent="0.3">
      <c r="A109" s="7"/>
      <c r="B109" s="9" t="s">
        <v>503</v>
      </c>
      <c r="C109" s="9">
        <v>24</v>
      </c>
      <c r="D109" s="10"/>
      <c r="E109" s="10"/>
      <c r="F109" s="10"/>
      <c r="G109" s="10"/>
      <c r="H109" s="10">
        <v>31</v>
      </c>
      <c r="I109" s="10"/>
      <c r="J109" s="10">
        <v>1</v>
      </c>
      <c r="K109" s="10"/>
      <c r="L109" s="10"/>
      <c r="M109" s="10"/>
      <c r="N109" s="10"/>
      <c r="O109" s="10"/>
      <c r="P109" s="10"/>
      <c r="Q109" s="10"/>
      <c r="R109" s="11">
        <v>56</v>
      </c>
    </row>
    <row r="110" spans="1:18" x14ac:dyDescent="0.3">
      <c r="A110" s="7"/>
      <c r="B110" s="9" t="s">
        <v>504</v>
      </c>
      <c r="C110" s="9">
        <v>18</v>
      </c>
      <c r="D110" s="10"/>
      <c r="E110" s="10"/>
      <c r="F110" s="10"/>
      <c r="G110" s="10"/>
      <c r="H110" s="10">
        <v>4</v>
      </c>
      <c r="I110" s="10"/>
      <c r="J110" s="10"/>
      <c r="K110" s="10"/>
      <c r="L110" s="10"/>
      <c r="M110" s="10">
        <v>6</v>
      </c>
      <c r="N110" s="10"/>
      <c r="O110" s="10"/>
      <c r="P110" s="10"/>
      <c r="Q110" s="10"/>
      <c r="R110" s="11">
        <v>28</v>
      </c>
    </row>
    <row r="111" spans="1:18" x14ac:dyDescent="0.3">
      <c r="A111" s="7"/>
      <c r="B111" s="9" t="s">
        <v>505</v>
      </c>
      <c r="C111" s="9">
        <v>28</v>
      </c>
      <c r="D111" s="10"/>
      <c r="E111" s="10"/>
      <c r="F111" s="10"/>
      <c r="G111" s="10"/>
      <c r="H111" s="10">
        <v>7</v>
      </c>
      <c r="I111" s="10"/>
      <c r="J111" s="10"/>
      <c r="K111" s="10"/>
      <c r="L111" s="10"/>
      <c r="M111" s="10">
        <v>3</v>
      </c>
      <c r="N111" s="10"/>
      <c r="O111" s="10"/>
      <c r="P111" s="10"/>
      <c r="Q111" s="10"/>
      <c r="R111" s="11">
        <v>38</v>
      </c>
    </row>
    <row r="112" spans="1:18" x14ac:dyDescent="0.3">
      <c r="A112" s="7"/>
      <c r="B112" s="9" t="s">
        <v>506</v>
      </c>
      <c r="C112" s="9"/>
      <c r="D112" s="10"/>
      <c r="E112" s="10"/>
      <c r="F112" s="10"/>
      <c r="G112" s="10"/>
      <c r="H112" s="10"/>
      <c r="I112" s="10"/>
      <c r="J112" s="10"/>
      <c r="K112" s="10">
        <v>1</v>
      </c>
      <c r="L112" s="10"/>
      <c r="M112" s="10"/>
      <c r="N112" s="10"/>
      <c r="O112" s="10"/>
      <c r="P112" s="10"/>
      <c r="Q112" s="10"/>
      <c r="R112" s="11">
        <v>1</v>
      </c>
    </row>
    <row r="113" spans="1:18" x14ac:dyDescent="0.3">
      <c r="A113" s="7"/>
      <c r="B113" s="9" t="s">
        <v>507</v>
      </c>
      <c r="C113" s="9"/>
      <c r="D113" s="10"/>
      <c r="E113" s="10"/>
      <c r="F113" s="10"/>
      <c r="G113" s="10"/>
      <c r="H113" s="10">
        <v>1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1">
        <v>1</v>
      </c>
    </row>
    <row r="114" spans="1:18" x14ac:dyDescent="0.3">
      <c r="A114" s="7"/>
      <c r="B114" s="9" t="s">
        <v>508</v>
      </c>
      <c r="C114" s="9">
        <v>1</v>
      </c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1">
        <v>1</v>
      </c>
    </row>
    <row r="115" spans="1:18" x14ac:dyDescent="0.3">
      <c r="A115" s="7"/>
      <c r="B115" s="9" t="s">
        <v>509</v>
      </c>
      <c r="C115" s="9"/>
      <c r="D115" s="10"/>
      <c r="E115" s="10"/>
      <c r="F115" s="10"/>
      <c r="G115" s="10"/>
      <c r="H115" s="10">
        <v>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1">
        <v>5</v>
      </c>
    </row>
    <row r="116" spans="1:18" x14ac:dyDescent="0.3">
      <c r="A116" s="7"/>
      <c r="B116" s="9" t="s">
        <v>510</v>
      </c>
      <c r="C116" s="9"/>
      <c r="D116" s="10"/>
      <c r="E116" s="10"/>
      <c r="F116" s="10"/>
      <c r="G116" s="10"/>
      <c r="H116" s="10">
        <v>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1">
        <v>3</v>
      </c>
    </row>
    <row r="117" spans="1:18" x14ac:dyDescent="0.3">
      <c r="A117" s="7"/>
      <c r="B117" s="8" t="s">
        <v>511</v>
      </c>
      <c r="C117" s="9">
        <v>1</v>
      </c>
      <c r="D117" s="10">
        <v>1</v>
      </c>
      <c r="E117" s="10">
        <v>1</v>
      </c>
      <c r="F117" s="10"/>
      <c r="G117" s="10">
        <v>1</v>
      </c>
      <c r="H117" s="10">
        <v>4</v>
      </c>
      <c r="I117" s="10"/>
      <c r="J117" s="10"/>
      <c r="K117" s="10"/>
      <c r="L117" s="10">
        <v>1</v>
      </c>
      <c r="M117" s="10"/>
      <c r="N117" s="10"/>
      <c r="O117" s="10"/>
      <c r="P117" s="10"/>
      <c r="Q117" s="10"/>
      <c r="R117" s="11">
        <v>9</v>
      </c>
    </row>
    <row r="118" spans="1:18" x14ac:dyDescent="0.3">
      <c r="A118" s="7"/>
      <c r="B118" s="9" t="s">
        <v>512</v>
      </c>
      <c r="C118" s="9">
        <v>4</v>
      </c>
      <c r="D118" s="10"/>
      <c r="E118" s="10">
        <v>2</v>
      </c>
      <c r="F118" s="10">
        <v>1</v>
      </c>
      <c r="G118" s="10"/>
      <c r="H118" s="10">
        <v>4</v>
      </c>
      <c r="I118" s="10">
        <v>1</v>
      </c>
      <c r="J118" s="10"/>
      <c r="K118" s="10">
        <v>1</v>
      </c>
      <c r="L118" s="10"/>
      <c r="M118" s="10">
        <v>3</v>
      </c>
      <c r="N118" s="10"/>
      <c r="O118" s="10">
        <v>1</v>
      </c>
      <c r="P118" s="10"/>
      <c r="Q118" s="10">
        <v>1</v>
      </c>
      <c r="R118" s="11">
        <v>18</v>
      </c>
    </row>
    <row r="119" spans="1:18" x14ac:dyDescent="0.3">
      <c r="A119" s="7"/>
      <c r="B119" s="9" t="s">
        <v>513</v>
      </c>
      <c r="C119" s="9"/>
      <c r="D119" s="10"/>
      <c r="E119" s="10"/>
      <c r="F119" s="10"/>
      <c r="G119" s="10">
        <v>0.5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1">
        <v>0.5</v>
      </c>
    </row>
    <row r="120" spans="1:18" x14ac:dyDescent="0.3">
      <c r="A120" s="7"/>
      <c r="B120" s="9" t="s">
        <v>514</v>
      </c>
      <c r="C120" s="9"/>
      <c r="D120" s="10"/>
      <c r="E120" s="10"/>
      <c r="F120" s="10"/>
      <c r="G120" s="10">
        <v>0.5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1">
        <v>0.5</v>
      </c>
    </row>
    <row r="121" spans="1:18" x14ac:dyDescent="0.3">
      <c r="A121" s="7"/>
      <c r="B121" s="9" t="s">
        <v>515</v>
      </c>
      <c r="C121" s="9">
        <v>1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1">
        <v>1</v>
      </c>
    </row>
    <row r="122" spans="1:18" x14ac:dyDescent="0.3">
      <c r="A122" s="7"/>
      <c r="B122" s="9" t="s">
        <v>516</v>
      </c>
      <c r="C122" s="9">
        <v>1</v>
      </c>
      <c r="D122" s="10"/>
      <c r="E122" s="10"/>
      <c r="F122" s="10"/>
      <c r="G122" s="10"/>
      <c r="H122" s="10">
        <v>4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1">
        <v>5</v>
      </c>
    </row>
    <row r="123" spans="1:18" x14ac:dyDescent="0.3">
      <c r="A123" s="7"/>
      <c r="B123" s="9" t="s">
        <v>517</v>
      </c>
      <c r="C123" s="9">
        <v>4</v>
      </c>
      <c r="D123" s="10"/>
      <c r="E123" s="10"/>
      <c r="F123" s="10"/>
      <c r="G123" s="10"/>
      <c r="H123" s="10">
        <v>3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1">
        <v>7</v>
      </c>
    </row>
    <row r="124" spans="1:18" x14ac:dyDescent="0.3">
      <c r="A124" s="7"/>
      <c r="B124" s="8" t="s">
        <v>518</v>
      </c>
      <c r="C124" s="9">
        <v>3</v>
      </c>
      <c r="D124" s="10"/>
      <c r="E124" s="10"/>
      <c r="F124" s="10"/>
      <c r="G124" s="10"/>
      <c r="H124" s="10">
        <v>5</v>
      </c>
      <c r="I124" s="10"/>
      <c r="J124" s="10"/>
      <c r="K124" s="10"/>
      <c r="L124" s="10"/>
      <c r="M124" s="10"/>
      <c r="N124" s="10"/>
      <c r="O124" s="10"/>
      <c r="P124" s="10"/>
      <c r="Q124" s="10"/>
      <c r="R124" s="11">
        <v>8</v>
      </c>
    </row>
    <row r="125" spans="1:18" x14ac:dyDescent="0.3">
      <c r="A125" s="7"/>
      <c r="B125" s="9" t="s">
        <v>519</v>
      </c>
      <c r="C125" s="9">
        <v>3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1">
        <v>3</v>
      </c>
    </row>
    <row r="126" spans="1:18" x14ac:dyDescent="0.3">
      <c r="A126" s="7"/>
      <c r="B126" s="8" t="s">
        <v>520</v>
      </c>
      <c r="C126" s="9"/>
      <c r="D126" s="10"/>
      <c r="E126" s="10">
        <v>0.3</v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1">
        <v>0.3</v>
      </c>
    </row>
    <row r="127" spans="1:18" x14ac:dyDescent="0.3">
      <c r="A127" s="7"/>
      <c r="B127" s="9" t="s">
        <v>521</v>
      </c>
      <c r="C127" s="9">
        <v>15</v>
      </c>
      <c r="D127" s="10"/>
      <c r="E127" s="10"/>
      <c r="F127" s="10">
        <v>2</v>
      </c>
      <c r="G127" s="10">
        <v>1</v>
      </c>
      <c r="H127" s="10">
        <v>27</v>
      </c>
      <c r="I127" s="10"/>
      <c r="J127" s="10">
        <v>3</v>
      </c>
      <c r="K127" s="10">
        <v>1</v>
      </c>
      <c r="L127" s="10"/>
      <c r="M127" s="10"/>
      <c r="N127" s="10"/>
      <c r="O127" s="10"/>
      <c r="P127" s="10"/>
      <c r="Q127" s="10">
        <v>5</v>
      </c>
      <c r="R127" s="11">
        <v>54</v>
      </c>
    </row>
    <row r="128" spans="1:18" x14ac:dyDescent="0.3">
      <c r="A128" s="7"/>
      <c r="B128" s="9" t="s">
        <v>522</v>
      </c>
      <c r="C128" s="9"/>
      <c r="D128" s="10"/>
      <c r="E128" s="10">
        <v>1</v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1">
        <v>1</v>
      </c>
    </row>
    <row r="129" spans="1:18" x14ac:dyDescent="0.3">
      <c r="A129" s="7"/>
      <c r="B129" s="9" t="s">
        <v>523</v>
      </c>
      <c r="C129" s="9">
        <v>14</v>
      </c>
      <c r="D129" s="10"/>
      <c r="E129" s="10"/>
      <c r="F129" s="10">
        <v>3</v>
      </c>
      <c r="G129" s="10">
        <v>2</v>
      </c>
      <c r="H129" s="10">
        <v>30</v>
      </c>
      <c r="I129" s="10">
        <v>2</v>
      </c>
      <c r="J129" s="10">
        <v>8</v>
      </c>
      <c r="K129" s="10">
        <v>7</v>
      </c>
      <c r="L129" s="10">
        <v>8</v>
      </c>
      <c r="M129" s="10">
        <v>2</v>
      </c>
      <c r="N129" s="10"/>
      <c r="O129" s="10"/>
      <c r="P129" s="10"/>
      <c r="Q129" s="10"/>
      <c r="R129" s="11">
        <v>76</v>
      </c>
    </row>
    <row r="130" spans="1:18" x14ac:dyDescent="0.3">
      <c r="A130" s="7"/>
      <c r="B130" s="9" t="s">
        <v>524</v>
      </c>
      <c r="C130" s="9">
        <v>2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1">
        <v>2</v>
      </c>
    </row>
    <row r="131" spans="1:18" x14ac:dyDescent="0.3">
      <c r="A131" s="7"/>
      <c r="B131" s="9" t="s">
        <v>525</v>
      </c>
      <c r="C131" s="9">
        <v>3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1">
        <v>3</v>
      </c>
    </row>
    <row r="132" spans="1:18" x14ac:dyDescent="0.3">
      <c r="A132" s="7"/>
      <c r="B132" s="9" t="s">
        <v>526</v>
      </c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>
        <v>8.4</v>
      </c>
      <c r="P132" s="10"/>
      <c r="Q132" s="10"/>
      <c r="R132" s="11">
        <v>8.4</v>
      </c>
    </row>
    <row r="133" spans="1:18" x14ac:dyDescent="0.3">
      <c r="A133" s="7"/>
      <c r="B133" s="18"/>
      <c r="C133" s="4">
        <v>379.5</v>
      </c>
      <c r="D133" s="5">
        <v>41</v>
      </c>
      <c r="E133" s="5">
        <v>47.35</v>
      </c>
      <c r="F133" s="5">
        <v>20</v>
      </c>
      <c r="G133" s="5">
        <v>604</v>
      </c>
      <c r="H133" s="5">
        <v>418.65</v>
      </c>
      <c r="I133" s="5">
        <v>11.5</v>
      </c>
      <c r="J133" s="5">
        <v>27</v>
      </c>
      <c r="K133" s="5">
        <v>43.5</v>
      </c>
      <c r="L133" s="5">
        <v>13</v>
      </c>
      <c r="M133" s="5">
        <v>72</v>
      </c>
      <c r="N133" s="5">
        <v>26.25</v>
      </c>
      <c r="O133" s="5">
        <v>41.65</v>
      </c>
      <c r="P133" s="5">
        <v>7</v>
      </c>
      <c r="Q133" s="5">
        <v>22.5</v>
      </c>
      <c r="R133" s="6">
        <v>1774.9</v>
      </c>
    </row>
    <row r="134" spans="1:18" x14ac:dyDescent="0.3">
      <c r="A134" s="4" t="s">
        <v>527</v>
      </c>
      <c r="B134" s="18"/>
      <c r="C134" s="4">
        <v>379.5</v>
      </c>
      <c r="D134" s="5">
        <v>41</v>
      </c>
      <c r="E134" s="5">
        <v>47.35</v>
      </c>
      <c r="F134" s="5">
        <v>20</v>
      </c>
      <c r="G134" s="5">
        <v>604</v>
      </c>
      <c r="H134" s="5">
        <v>418.65</v>
      </c>
      <c r="I134" s="5">
        <v>11.5</v>
      </c>
      <c r="J134" s="5">
        <v>27</v>
      </c>
      <c r="K134" s="5">
        <v>43.5</v>
      </c>
      <c r="L134" s="5">
        <v>13</v>
      </c>
      <c r="M134" s="5">
        <v>72</v>
      </c>
      <c r="N134" s="5">
        <v>26.25</v>
      </c>
      <c r="O134" s="5">
        <v>41.65</v>
      </c>
      <c r="P134" s="5">
        <v>7</v>
      </c>
      <c r="Q134" s="5">
        <v>22.5</v>
      </c>
      <c r="R134" s="6">
        <v>1774.9</v>
      </c>
    </row>
    <row r="135" spans="1:18" x14ac:dyDescent="0.3">
      <c r="A135" s="12" t="s">
        <v>18</v>
      </c>
      <c r="B135" s="13"/>
      <c r="C135" s="12">
        <v>379.5</v>
      </c>
      <c r="D135" s="14">
        <v>41</v>
      </c>
      <c r="E135" s="14">
        <v>47.35</v>
      </c>
      <c r="F135" s="14">
        <v>20</v>
      </c>
      <c r="G135" s="14">
        <v>604</v>
      </c>
      <c r="H135" s="14">
        <v>418.65</v>
      </c>
      <c r="I135" s="14">
        <v>11.5</v>
      </c>
      <c r="J135" s="14">
        <v>27</v>
      </c>
      <c r="K135" s="14">
        <v>43.5</v>
      </c>
      <c r="L135" s="14">
        <v>13</v>
      </c>
      <c r="M135" s="14">
        <v>72</v>
      </c>
      <c r="N135" s="14">
        <v>26.25</v>
      </c>
      <c r="O135" s="14">
        <v>41.65</v>
      </c>
      <c r="P135" s="14">
        <v>7</v>
      </c>
      <c r="Q135" s="14">
        <v>22.5</v>
      </c>
      <c r="R135" s="15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546875" defaultRowHeight="14.4" x14ac:dyDescent="0.3"/>
  <cols>
    <col min="1" max="1" width="29.88671875" customWidth="1"/>
    <col min="2" max="2" width="57.5546875" customWidth="1"/>
  </cols>
  <sheetData>
    <row r="1" spans="1:18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17</v>
      </c>
      <c r="R1" s="6" t="s">
        <v>18</v>
      </c>
    </row>
    <row r="2" spans="1:18" x14ac:dyDescent="0.3">
      <c r="A2" s="4" t="s">
        <v>528</v>
      </c>
      <c r="B2" s="4" t="s">
        <v>529</v>
      </c>
      <c r="C2" s="4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>
        <v>5</v>
      </c>
    </row>
    <row r="3" spans="1:18" x14ac:dyDescent="0.3">
      <c r="A3" s="7"/>
      <c r="B3" s="9" t="s">
        <v>530</v>
      </c>
      <c r="C3" s="9"/>
      <c r="D3" s="10"/>
      <c r="E3" s="10"/>
      <c r="F3" s="10"/>
      <c r="G3" s="10"/>
      <c r="H3" s="10">
        <v>5</v>
      </c>
      <c r="I3" s="10"/>
      <c r="J3" s="10"/>
      <c r="K3" s="10"/>
      <c r="L3" s="10"/>
      <c r="M3" s="10"/>
      <c r="N3" s="10"/>
      <c r="O3" s="10"/>
      <c r="P3" s="10"/>
      <c r="Q3" s="10"/>
      <c r="R3" s="11">
        <v>5</v>
      </c>
    </row>
    <row r="4" spans="1:18" x14ac:dyDescent="0.3">
      <c r="A4" s="7"/>
      <c r="B4" s="9" t="s">
        <v>531</v>
      </c>
      <c r="C4" s="9"/>
      <c r="D4" s="10">
        <v>11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1">
        <v>11</v>
      </c>
    </row>
    <row r="5" spans="1:18" x14ac:dyDescent="0.3">
      <c r="A5" s="7"/>
      <c r="B5" s="9" t="s">
        <v>532</v>
      </c>
      <c r="C5" s="9">
        <v>1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1">
        <v>1</v>
      </c>
    </row>
    <row r="6" spans="1:18" x14ac:dyDescent="0.3">
      <c r="A6" s="7"/>
      <c r="B6" s="9" t="s">
        <v>533</v>
      </c>
      <c r="C6" s="9"/>
      <c r="D6" s="10"/>
      <c r="E6" s="10"/>
      <c r="F6" s="10"/>
      <c r="G6" s="10"/>
      <c r="H6" s="10">
        <v>1.1000000000000001</v>
      </c>
      <c r="I6" s="10"/>
      <c r="J6" s="10"/>
      <c r="K6" s="10"/>
      <c r="L6" s="10"/>
      <c r="M6" s="10"/>
      <c r="N6" s="10"/>
      <c r="O6" s="10"/>
      <c r="P6" s="10"/>
      <c r="Q6" s="10"/>
      <c r="R6" s="11">
        <v>1.1000000000000001</v>
      </c>
    </row>
    <row r="7" spans="1:18" x14ac:dyDescent="0.3">
      <c r="A7" s="7"/>
      <c r="B7" s="9" t="s">
        <v>534</v>
      </c>
      <c r="C7" s="9">
        <v>5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1">
        <v>6</v>
      </c>
    </row>
    <row r="8" spans="1:18" x14ac:dyDescent="0.3">
      <c r="A8" s="7"/>
      <c r="B8" s="9" t="s">
        <v>535</v>
      </c>
      <c r="C8" s="9">
        <v>9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9</v>
      </c>
    </row>
    <row r="9" spans="1:18" x14ac:dyDescent="0.3">
      <c r="A9" s="7"/>
      <c r="B9" s="9" t="s">
        <v>536</v>
      </c>
      <c r="C9" s="9">
        <v>3</v>
      </c>
      <c r="D9" s="10"/>
      <c r="E9" s="10"/>
      <c r="F9" s="10"/>
      <c r="G9" s="10"/>
      <c r="H9" s="10">
        <v>7.5</v>
      </c>
      <c r="I9" s="10"/>
      <c r="J9" s="10"/>
      <c r="K9" s="10"/>
      <c r="L9" s="10"/>
      <c r="M9" s="10"/>
      <c r="N9" s="10"/>
      <c r="O9" s="10"/>
      <c r="P9" s="10"/>
      <c r="Q9" s="10"/>
      <c r="R9" s="11">
        <v>10.5</v>
      </c>
    </row>
    <row r="10" spans="1:18" x14ac:dyDescent="0.3">
      <c r="A10" s="7"/>
      <c r="B10" s="9" t="s">
        <v>537</v>
      </c>
      <c r="C10" s="9"/>
      <c r="D10" s="10"/>
      <c r="E10" s="10"/>
      <c r="F10" s="10">
        <v>8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>
        <v>3</v>
      </c>
      <c r="R10" s="11">
        <v>11</v>
      </c>
    </row>
    <row r="11" spans="1:18" x14ac:dyDescent="0.3">
      <c r="A11" s="7"/>
      <c r="B11" s="9" t="s">
        <v>538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>
        <v>2</v>
      </c>
      <c r="R11" s="11">
        <v>2</v>
      </c>
    </row>
    <row r="12" spans="1:18" x14ac:dyDescent="0.3">
      <c r="A12" s="7"/>
      <c r="B12" s="9" t="s">
        <v>539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>
        <v>1</v>
      </c>
      <c r="R12" s="11">
        <v>1</v>
      </c>
    </row>
    <row r="13" spans="1:18" x14ac:dyDescent="0.3">
      <c r="A13" s="7"/>
      <c r="B13" s="9" t="s">
        <v>540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>
        <v>5</v>
      </c>
      <c r="R13" s="11">
        <v>5</v>
      </c>
    </row>
    <row r="14" spans="1:18" x14ac:dyDescent="0.3">
      <c r="A14" s="7"/>
      <c r="B14" s="9" t="s">
        <v>541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>
        <v>3</v>
      </c>
      <c r="R14" s="11">
        <v>3</v>
      </c>
    </row>
    <row r="15" spans="1:18" x14ac:dyDescent="0.3">
      <c r="A15" s="7"/>
      <c r="B15" s="9" t="s">
        <v>542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3</v>
      </c>
      <c r="R15" s="11">
        <v>3</v>
      </c>
    </row>
    <row r="16" spans="1:18" x14ac:dyDescent="0.3">
      <c r="A16" s="7"/>
      <c r="B16" s="9" t="s">
        <v>543</v>
      </c>
      <c r="C16" s="9">
        <v>1</v>
      </c>
      <c r="D16" s="10"/>
      <c r="E16" s="10"/>
      <c r="F16" s="10"/>
      <c r="G16" s="10"/>
      <c r="H16" s="10">
        <v>9</v>
      </c>
      <c r="I16" s="10"/>
      <c r="J16" s="10"/>
      <c r="K16" s="10"/>
      <c r="L16" s="10"/>
      <c r="M16" s="10"/>
      <c r="N16" s="10"/>
      <c r="O16" s="10"/>
      <c r="P16" s="10"/>
      <c r="Q16" s="10"/>
      <c r="R16" s="11">
        <v>10</v>
      </c>
    </row>
    <row r="17" spans="1:18" x14ac:dyDescent="0.3">
      <c r="A17" s="7"/>
      <c r="B17" s="9" t="s">
        <v>544</v>
      </c>
      <c r="C17" s="9"/>
      <c r="D17" s="10"/>
      <c r="E17" s="10"/>
      <c r="F17" s="10"/>
      <c r="G17" s="10"/>
      <c r="H17" s="10"/>
      <c r="I17" s="10"/>
      <c r="J17" s="10"/>
      <c r="K17" s="10">
        <v>4</v>
      </c>
      <c r="L17" s="10"/>
      <c r="M17" s="10"/>
      <c r="N17" s="10"/>
      <c r="O17" s="10"/>
      <c r="P17" s="10"/>
      <c r="Q17" s="10"/>
      <c r="R17" s="11">
        <v>4</v>
      </c>
    </row>
    <row r="18" spans="1:18" x14ac:dyDescent="0.3">
      <c r="A18" s="7"/>
      <c r="B18" s="9" t="s">
        <v>545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>
        <v>25</v>
      </c>
      <c r="R18" s="11">
        <v>25</v>
      </c>
    </row>
    <row r="19" spans="1:18" x14ac:dyDescent="0.3">
      <c r="A19" s="7"/>
      <c r="B19" s="9" t="s">
        <v>546</v>
      </c>
      <c r="C19" s="9">
        <v>7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1">
        <v>7</v>
      </c>
    </row>
    <row r="20" spans="1:18" x14ac:dyDescent="0.3">
      <c r="A20" s="7"/>
      <c r="B20" s="9" t="s">
        <v>547</v>
      </c>
      <c r="C20" s="9"/>
      <c r="D20" s="10"/>
      <c r="E20" s="10"/>
      <c r="F20" s="10"/>
      <c r="G20" s="10"/>
      <c r="H20" s="10">
        <v>4</v>
      </c>
      <c r="I20" s="10"/>
      <c r="J20" s="10"/>
      <c r="K20" s="10"/>
      <c r="L20" s="10"/>
      <c r="M20" s="10"/>
      <c r="N20" s="10"/>
      <c r="O20" s="10"/>
      <c r="P20" s="10"/>
      <c r="Q20" s="10"/>
      <c r="R20" s="11">
        <v>4</v>
      </c>
    </row>
    <row r="21" spans="1:18" x14ac:dyDescent="0.3">
      <c r="A21" s="7"/>
      <c r="B21" s="9" t="s">
        <v>548</v>
      </c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>
        <v>3</v>
      </c>
      <c r="P21" s="10"/>
      <c r="Q21" s="10"/>
      <c r="R21" s="11">
        <v>3</v>
      </c>
    </row>
    <row r="22" spans="1:18" x14ac:dyDescent="0.3">
      <c r="A22" s="7"/>
      <c r="B22" s="9" t="s">
        <v>344</v>
      </c>
      <c r="C22" s="9"/>
      <c r="D22" s="10"/>
      <c r="E22" s="10"/>
      <c r="F22" s="10"/>
      <c r="G22" s="10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1">
        <v>1</v>
      </c>
    </row>
    <row r="23" spans="1:18" x14ac:dyDescent="0.3">
      <c r="A23" s="7"/>
      <c r="B23" s="9" t="s">
        <v>549</v>
      </c>
      <c r="C23" s="9"/>
      <c r="D23" s="10">
        <v>2.2999999999999998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1">
        <v>2.2999999999999998</v>
      </c>
    </row>
    <row r="24" spans="1:18" x14ac:dyDescent="0.3">
      <c r="A24" s="7"/>
      <c r="B24" s="9" t="s">
        <v>550</v>
      </c>
      <c r="C24" s="9">
        <v>6</v>
      </c>
      <c r="D24" s="10"/>
      <c r="E24" s="10"/>
      <c r="F24" s="10"/>
      <c r="G24" s="10"/>
      <c r="H24" s="10">
        <v>4</v>
      </c>
      <c r="I24" s="10">
        <v>2</v>
      </c>
      <c r="J24" s="10"/>
      <c r="K24" s="10">
        <v>1</v>
      </c>
      <c r="L24" s="10">
        <v>11</v>
      </c>
      <c r="M24" s="10"/>
      <c r="N24" s="10"/>
      <c r="O24" s="10"/>
      <c r="P24" s="10">
        <v>2</v>
      </c>
      <c r="Q24" s="10"/>
      <c r="R24" s="11">
        <v>26</v>
      </c>
    </row>
    <row r="25" spans="1:18" x14ac:dyDescent="0.3">
      <c r="A25" s="7"/>
      <c r="B25" s="9" t="s">
        <v>551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>
        <v>41</v>
      </c>
      <c r="N25" s="10"/>
      <c r="O25" s="10"/>
      <c r="P25" s="10"/>
      <c r="Q25" s="10"/>
      <c r="R25" s="11">
        <v>41</v>
      </c>
    </row>
    <row r="26" spans="1:18" x14ac:dyDescent="0.3">
      <c r="A26" s="7"/>
      <c r="B26" s="9" t="s">
        <v>552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>
        <v>30</v>
      </c>
      <c r="N26" s="10"/>
      <c r="O26" s="10"/>
      <c r="P26" s="10"/>
      <c r="Q26" s="10"/>
      <c r="R26" s="11">
        <v>30</v>
      </c>
    </row>
    <row r="27" spans="1:18" x14ac:dyDescent="0.3">
      <c r="A27" s="7"/>
      <c r="B27" s="9" t="s">
        <v>553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>
        <v>1</v>
      </c>
      <c r="R27" s="11">
        <v>1</v>
      </c>
    </row>
    <row r="28" spans="1:18" x14ac:dyDescent="0.3">
      <c r="A28" s="7"/>
      <c r="B28" s="9" t="s">
        <v>554</v>
      </c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>
        <v>10</v>
      </c>
      <c r="R28" s="11">
        <v>10</v>
      </c>
    </row>
    <row r="29" spans="1:18" x14ac:dyDescent="0.3">
      <c r="A29" s="7"/>
      <c r="B29" s="9" t="s">
        <v>555</v>
      </c>
      <c r="C29" s="9">
        <v>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1">
        <v>3</v>
      </c>
    </row>
    <row r="30" spans="1:18" x14ac:dyDescent="0.3">
      <c r="A30" s="7"/>
      <c r="B30" s="9" t="s">
        <v>556</v>
      </c>
      <c r="C30" s="9"/>
      <c r="D30" s="10"/>
      <c r="E30" s="10"/>
      <c r="F30" s="10">
        <v>8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>
        <v>3</v>
      </c>
      <c r="R30" s="11">
        <v>11</v>
      </c>
    </row>
    <row r="31" spans="1:18" x14ac:dyDescent="0.3">
      <c r="A31" s="7"/>
      <c r="B31" s="9" t="s">
        <v>557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>
        <v>1</v>
      </c>
      <c r="R31" s="11">
        <v>1</v>
      </c>
    </row>
    <row r="32" spans="1:18" x14ac:dyDescent="0.3">
      <c r="A32" s="7"/>
      <c r="B32" s="9" t="s">
        <v>558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>
        <v>5</v>
      </c>
      <c r="R32" s="11">
        <v>5</v>
      </c>
    </row>
    <row r="33" spans="1:18" x14ac:dyDescent="0.3">
      <c r="A33" s="7"/>
      <c r="B33" s="9" t="s">
        <v>559</v>
      </c>
      <c r="C33" s="9">
        <v>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1">
        <v>36</v>
      </c>
    </row>
    <row r="34" spans="1:18" x14ac:dyDescent="0.3">
      <c r="A34" s="7"/>
      <c r="B34" s="9" t="s">
        <v>560</v>
      </c>
      <c r="C34" s="9">
        <v>84</v>
      </c>
      <c r="D34" s="10"/>
      <c r="E34" s="10"/>
      <c r="F34" s="10"/>
      <c r="G34" s="10"/>
      <c r="H34" s="10">
        <v>441.45</v>
      </c>
      <c r="I34" s="10"/>
      <c r="J34" s="10"/>
      <c r="K34" s="10"/>
      <c r="L34" s="10"/>
      <c r="M34" s="10"/>
      <c r="N34" s="10"/>
      <c r="O34" s="10"/>
      <c r="P34" s="10"/>
      <c r="Q34" s="10"/>
      <c r="R34" s="11">
        <v>525.45000000000005</v>
      </c>
    </row>
    <row r="35" spans="1:18" x14ac:dyDescent="0.3">
      <c r="A35" s="7"/>
      <c r="B35" s="8" t="s">
        <v>362</v>
      </c>
      <c r="C35" s="9"/>
      <c r="D35" s="10">
        <v>4.2</v>
      </c>
      <c r="E35" s="10"/>
      <c r="F35" s="10">
        <v>25</v>
      </c>
      <c r="G35" s="10"/>
      <c r="H35" s="10">
        <v>2</v>
      </c>
      <c r="I35" s="10"/>
      <c r="J35" s="10"/>
      <c r="K35" s="10"/>
      <c r="L35" s="10"/>
      <c r="M35" s="10"/>
      <c r="N35" s="10"/>
      <c r="O35" s="10">
        <v>1</v>
      </c>
      <c r="P35" s="10">
        <v>1</v>
      </c>
      <c r="Q35" s="10"/>
      <c r="R35" s="11">
        <v>33.200000000000003</v>
      </c>
    </row>
    <row r="36" spans="1:18" x14ac:dyDescent="0.3">
      <c r="A36" s="7"/>
      <c r="B36" s="9" t="s">
        <v>561</v>
      </c>
      <c r="C36" s="9">
        <v>3</v>
      </c>
      <c r="D36" s="10"/>
      <c r="E36" s="10"/>
      <c r="F36" s="10"/>
      <c r="G36" s="10">
        <v>1</v>
      </c>
      <c r="H36" s="10">
        <v>35.15</v>
      </c>
      <c r="I36" s="10"/>
      <c r="J36" s="10"/>
      <c r="K36" s="10"/>
      <c r="L36" s="10"/>
      <c r="M36" s="10"/>
      <c r="N36" s="10"/>
      <c r="O36" s="10"/>
      <c r="P36" s="10"/>
      <c r="Q36" s="10">
        <v>3</v>
      </c>
      <c r="R36" s="11">
        <v>42.15</v>
      </c>
    </row>
    <row r="37" spans="1:18" x14ac:dyDescent="0.3">
      <c r="A37" s="7"/>
      <c r="B37" s="9" t="s">
        <v>562</v>
      </c>
      <c r="C37" s="9">
        <v>3</v>
      </c>
      <c r="D37" s="10"/>
      <c r="E37" s="10"/>
      <c r="F37" s="10"/>
      <c r="G37" s="10"/>
      <c r="H37" s="10">
        <v>36</v>
      </c>
      <c r="I37" s="10"/>
      <c r="J37" s="10"/>
      <c r="K37" s="10"/>
      <c r="L37" s="10"/>
      <c r="M37" s="10"/>
      <c r="N37" s="10"/>
      <c r="O37" s="10"/>
      <c r="P37" s="10"/>
      <c r="Q37" s="10">
        <v>1</v>
      </c>
      <c r="R37" s="11">
        <v>40</v>
      </c>
    </row>
    <row r="38" spans="1:18" x14ac:dyDescent="0.3">
      <c r="A38" s="7"/>
      <c r="B38" s="9" t="s">
        <v>563</v>
      </c>
      <c r="C38" s="9">
        <v>40</v>
      </c>
      <c r="D38" s="10"/>
      <c r="E38" s="10"/>
      <c r="F38" s="10"/>
      <c r="G38" s="10"/>
      <c r="H38" s="10">
        <v>2.1</v>
      </c>
      <c r="I38" s="10">
        <v>1</v>
      </c>
      <c r="J38" s="10">
        <v>1</v>
      </c>
      <c r="K38" s="10">
        <v>1</v>
      </c>
      <c r="L38" s="10">
        <v>1</v>
      </c>
      <c r="M38" s="10"/>
      <c r="N38" s="10"/>
      <c r="O38" s="10"/>
      <c r="P38" s="10"/>
      <c r="Q38" s="10">
        <v>12</v>
      </c>
      <c r="R38" s="11">
        <v>58.1</v>
      </c>
    </row>
    <row r="39" spans="1:18" x14ac:dyDescent="0.3">
      <c r="A39" s="7"/>
      <c r="B39" s="9" t="s">
        <v>564</v>
      </c>
      <c r="C39" s="9"/>
      <c r="D39" s="10"/>
      <c r="E39" s="10"/>
      <c r="F39" s="10"/>
      <c r="G39" s="10"/>
      <c r="H39" s="10">
        <v>20</v>
      </c>
      <c r="I39" s="10"/>
      <c r="J39" s="10"/>
      <c r="K39" s="10"/>
      <c r="L39" s="10"/>
      <c r="M39" s="10"/>
      <c r="N39" s="10"/>
      <c r="O39" s="10"/>
      <c r="P39" s="10"/>
      <c r="Q39" s="10"/>
      <c r="R39" s="11">
        <v>20</v>
      </c>
    </row>
    <row r="40" spans="1:18" x14ac:dyDescent="0.3">
      <c r="A40" s="7"/>
      <c r="B40" s="9" t="s">
        <v>565</v>
      </c>
      <c r="C40" s="9"/>
      <c r="D40" s="10"/>
      <c r="E40" s="10"/>
      <c r="F40" s="10"/>
      <c r="G40" s="10">
        <v>11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1">
        <v>11</v>
      </c>
    </row>
    <row r="41" spans="1:18" x14ac:dyDescent="0.3">
      <c r="A41" s="7"/>
      <c r="B41" s="9" t="s">
        <v>566</v>
      </c>
      <c r="C41" s="9"/>
      <c r="D41" s="10"/>
      <c r="E41" s="10"/>
      <c r="F41" s="10">
        <v>4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1">
        <v>4</v>
      </c>
    </row>
    <row r="42" spans="1:18" x14ac:dyDescent="0.3">
      <c r="A42" s="7"/>
      <c r="B42" s="9" t="s">
        <v>567</v>
      </c>
      <c r="C42" s="9"/>
      <c r="D42" s="10"/>
      <c r="E42" s="10"/>
      <c r="F42" s="10"/>
      <c r="G42" s="10"/>
      <c r="H42" s="10">
        <v>10</v>
      </c>
      <c r="I42" s="10"/>
      <c r="J42" s="10"/>
      <c r="K42" s="10"/>
      <c r="L42" s="10"/>
      <c r="M42" s="10"/>
      <c r="N42" s="10"/>
      <c r="O42" s="10"/>
      <c r="P42" s="10"/>
      <c r="Q42" s="10"/>
      <c r="R42" s="11">
        <v>10</v>
      </c>
    </row>
    <row r="43" spans="1:18" x14ac:dyDescent="0.3">
      <c r="A43" s="7"/>
      <c r="B43" s="9" t="s">
        <v>568</v>
      </c>
      <c r="C43" s="9">
        <v>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>
        <v>3</v>
      </c>
      <c r="R43" s="11">
        <v>5</v>
      </c>
    </row>
    <row r="44" spans="1:18" x14ac:dyDescent="0.3">
      <c r="A44" s="7"/>
      <c r="B44" s="9" t="s">
        <v>569</v>
      </c>
      <c r="C44" s="9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>
        <v>9</v>
      </c>
      <c r="R44" s="11">
        <v>9</v>
      </c>
    </row>
    <row r="45" spans="1:18" x14ac:dyDescent="0.3">
      <c r="A45" s="7"/>
      <c r="B45" s="9" t="s">
        <v>570</v>
      </c>
      <c r="C45" s="9">
        <v>10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1">
        <v>10</v>
      </c>
    </row>
    <row r="46" spans="1:18" x14ac:dyDescent="0.3">
      <c r="A46" s="7"/>
      <c r="B46" s="9" t="s">
        <v>571</v>
      </c>
      <c r="C46" s="9">
        <v>62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1">
        <v>62</v>
      </c>
    </row>
    <row r="47" spans="1:18" x14ac:dyDescent="0.3">
      <c r="A47" s="7"/>
      <c r="B47" s="9" t="s">
        <v>572</v>
      </c>
      <c r="C47" s="9"/>
      <c r="D47" s="10"/>
      <c r="E47" s="10"/>
      <c r="F47" s="10"/>
      <c r="G47" s="10"/>
      <c r="H47" s="10"/>
      <c r="I47" s="10"/>
      <c r="J47" s="10"/>
      <c r="K47" s="10"/>
      <c r="L47" s="10">
        <v>96.5</v>
      </c>
      <c r="M47" s="10"/>
      <c r="N47" s="10"/>
      <c r="O47" s="10"/>
      <c r="P47" s="10"/>
      <c r="Q47" s="10"/>
      <c r="R47" s="11">
        <v>96.5</v>
      </c>
    </row>
    <row r="48" spans="1:18" x14ac:dyDescent="0.3">
      <c r="A48" s="7"/>
      <c r="B48" s="8" t="s">
        <v>573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>
        <v>1</v>
      </c>
      <c r="R48" s="11">
        <v>1</v>
      </c>
    </row>
    <row r="49" spans="1:18" x14ac:dyDescent="0.3">
      <c r="A49" s="7"/>
      <c r="B49" s="9" t="s">
        <v>574</v>
      </c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>
        <v>2</v>
      </c>
      <c r="R49" s="11">
        <v>2</v>
      </c>
    </row>
    <row r="50" spans="1:18" x14ac:dyDescent="0.3">
      <c r="A50" s="7"/>
      <c r="B50" s="9" t="s">
        <v>575</v>
      </c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v>3</v>
      </c>
      <c r="R50" s="11">
        <v>3</v>
      </c>
    </row>
    <row r="51" spans="1:18" x14ac:dyDescent="0.3">
      <c r="A51" s="7"/>
      <c r="B51" s="9" t="s">
        <v>576</v>
      </c>
      <c r="C51" s="9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>
        <v>5</v>
      </c>
      <c r="R51" s="11">
        <v>5</v>
      </c>
    </row>
    <row r="52" spans="1:18" x14ac:dyDescent="0.3">
      <c r="A52" s="7"/>
      <c r="B52" s="9" t="s">
        <v>577</v>
      </c>
      <c r="C52" s="9"/>
      <c r="D52" s="10"/>
      <c r="E52" s="10"/>
      <c r="F52" s="10"/>
      <c r="G52" s="10"/>
      <c r="H52" s="10">
        <v>98</v>
      </c>
      <c r="I52" s="10"/>
      <c r="J52" s="10"/>
      <c r="K52" s="10"/>
      <c r="L52" s="10"/>
      <c r="M52" s="10"/>
      <c r="N52" s="10"/>
      <c r="O52" s="10"/>
      <c r="P52" s="10"/>
      <c r="Q52" s="10">
        <v>7</v>
      </c>
      <c r="R52" s="11">
        <v>105</v>
      </c>
    </row>
    <row r="53" spans="1:18" x14ac:dyDescent="0.3">
      <c r="A53" s="7"/>
      <c r="B53" s="9" t="s">
        <v>578</v>
      </c>
      <c r="C53" s="9"/>
      <c r="D53" s="10"/>
      <c r="E53" s="10">
        <v>0.5</v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1">
        <v>0.5</v>
      </c>
    </row>
    <row r="54" spans="1:18" x14ac:dyDescent="0.3">
      <c r="A54" s="7"/>
      <c r="B54" s="9" t="s">
        <v>579</v>
      </c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>
        <v>8</v>
      </c>
      <c r="R54" s="11">
        <v>8</v>
      </c>
    </row>
    <row r="55" spans="1:18" x14ac:dyDescent="0.3">
      <c r="A55" s="7"/>
      <c r="B55" s="9" t="s">
        <v>580</v>
      </c>
      <c r="C55" s="9">
        <v>19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19</v>
      </c>
    </row>
    <row r="56" spans="1:18" x14ac:dyDescent="0.3">
      <c r="A56" s="7"/>
      <c r="B56" s="9" t="s">
        <v>581</v>
      </c>
      <c r="C56" s="9">
        <v>164</v>
      </c>
      <c r="D56" s="10"/>
      <c r="E56" s="10"/>
      <c r="F56" s="10"/>
      <c r="G56" s="10"/>
      <c r="H56" s="10">
        <v>265</v>
      </c>
      <c r="I56" s="10"/>
      <c r="J56" s="10"/>
      <c r="K56" s="10"/>
      <c r="L56" s="10"/>
      <c r="M56" s="10"/>
      <c r="N56" s="10"/>
      <c r="O56" s="10"/>
      <c r="P56" s="10"/>
      <c r="Q56" s="10"/>
      <c r="R56" s="11">
        <v>429</v>
      </c>
    </row>
    <row r="57" spans="1:18" x14ac:dyDescent="0.3">
      <c r="A57" s="7"/>
      <c r="B57" s="9" t="s">
        <v>582</v>
      </c>
      <c r="C57" s="9"/>
      <c r="D57" s="10"/>
      <c r="E57" s="10"/>
      <c r="F57" s="10"/>
      <c r="G57" s="10"/>
      <c r="H57" s="10"/>
      <c r="I57" s="10">
        <v>27</v>
      </c>
      <c r="J57" s="10"/>
      <c r="K57" s="10"/>
      <c r="L57" s="10"/>
      <c r="M57" s="10"/>
      <c r="N57" s="10"/>
      <c r="O57" s="10"/>
      <c r="P57" s="10"/>
      <c r="Q57" s="10"/>
      <c r="R57" s="11">
        <v>27</v>
      </c>
    </row>
    <row r="58" spans="1:18" x14ac:dyDescent="0.3">
      <c r="A58" s="7"/>
      <c r="B58" s="9" t="s">
        <v>583</v>
      </c>
      <c r="C58" s="9"/>
      <c r="D58" s="10"/>
      <c r="E58" s="10"/>
      <c r="F58" s="10">
        <v>5</v>
      </c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1">
        <v>5</v>
      </c>
    </row>
    <row r="59" spans="1:18" x14ac:dyDescent="0.3">
      <c r="A59" s="7"/>
      <c r="B59" s="9" t="s">
        <v>584</v>
      </c>
      <c r="C59" s="9"/>
      <c r="D59" s="10"/>
      <c r="E59" s="10"/>
      <c r="F59" s="10"/>
      <c r="G59" s="10"/>
      <c r="H59" s="10"/>
      <c r="I59" s="10"/>
      <c r="J59" s="10"/>
      <c r="K59" s="10"/>
      <c r="L59" s="10">
        <v>32.5</v>
      </c>
      <c r="M59" s="10"/>
      <c r="N59" s="10"/>
      <c r="O59" s="10"/>
      <c r="P59" s="10"/>
      <c r="Q59" s="10">
        <v>16</v>
      </c>
      <c r="R59" s="11">
        <v>48.5</v>
      </c>
    </row>
    <row r="60" spans="1:18" x14ac:dyDescent="0.3">
      <c r="A60" s="7"/>
      <c r="B60" s="9" t="s">
        <v>585</v>
      </c>
      <c r="C60" s="9">
        <v>2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1">
        <v>2</v>
      </c>
    </row>
    <row r="61" spans="1:18" x14ac:dyDescent="0.3">
      <c r="A61" s="7"/>
      <c r="B61" s="9" t="s">
        <v>586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1">
        <v>1</v>
      </c>
    </row>
    <row r="62" spans="1:18" x14ac:dyDescent="0.3">
      <c r="A62" s="7"/>
      <c r="B62" s="9" t="s">
        <v>587</v>
      </c>
      <c r="C62" s="9">
        <v>4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1">
        <v>4</v>
      </c>
    </row>
    <row r="63" spans="1:18" x14ac:dyDescent="0.3">
      <c r="A63" s="7"/>
      <c r="B63" s="9" t="s">
        <v>588</v>
      </c>
      <c r="C63" s="9">
        <v>5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1">
        <v>5</v>
      </c>
    </row>
    <row r="64" spans="1:18" x14ac:dyDescent="0.3">
      <c r="A64" s="7"/>
      <c r="B64" s="9" t="s">
        <v>589</v>
      </c>
      <c r="C64" s="9">
        <v>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1">
        <v>9</v>
      </c>
    </row>
    <row r="65" spans="1:18" x14ac:dyDescent="0.3">
      <c r="A65" s="7"/>
      <c r="B65" s="9" t="s">
        <v>590</v>
      </c>
      <c r="C65" s="9">
        <v>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1">
        <v>3</v>
      </c>
    </row>
    <row r="66" spans="1:18" x14ac:dyDescent="0.3">
      <c r="A66" s="7"/>
      <c r="B66" s="9" t="s">
        <v>591</v>
      </c>
      <c r="C66" s="9"/>
      <c r="D66" s="10"/>
      <c r="E66" s="10"/>
      <c r="F66" s="10"/>
      <c r="G66" s="10"/>
      <c r="H66" s="10"/>
      <c r="I66" s="10"/>
      <c r="J66" s="10"/>
      <c r="K66" s="10"/>
      <c r="L66" s="10"/>
      <c r="M66" s="10">
        <v>24</v>
      </c>
      <c r="N66" s="10"/>
      <c r="O66" s="10"/>
      <c r="P66" s="10"/>
      <c r="Q66" s="10"/>
      <c r="R66" s="11">
        <v>24</v>
      </c>
    </row>
    <row r="67" spans="1:18" x14ac:dyDescent="0.3">
      <c r="A67" s="7"/>
      <c r="B67" s="9" t="s">
        <v>592</v>
      </c>
      <c r="C67" s="9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>
        <v>23</v>
      </c>
      <c r="Q67" s="10"/>
      <c r="R67" s="11">
        <v>23</v>
      </c>
    </row>
    <row r="68" spans="1:18" x14ac:dyDescent="0.3">
      <c r="A68" s="7"/>
      <c r="B68" s="9" t="s">
        <v>593</v>
      </c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>
        <v>1</v>
      </c>
      <c r="O68" s="10"/>
      <c r="P68" s="10"/>
      <c r="Q68" s="10"/>
      <c r="R68" s="11">
        <v>1</v>
      </c>
    </row>
    <row r="69" spans="1:18" x14ac:dyDescent="0.3">
      <c r="A69" s="7"/>
      <c r="B69" s="9" t="s">
        <v>594</v>
      </c>
      <c r="C69" s="9"/>
      <c r="D69" s="10"/>
      <c r="E69" s="10">
        <v>5</v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1">
        <v>5</v>
      </c>
    </row>
    <row r="70" spans="1:18" x14ac:dyDescent="0.3">
      <c r="A70" s="7"/>
      <c r="B70" s="9" t="s">
        <v>595</v>
      </c>
      <c r="C70" s="9"/>
      <c r="D70" s="10"/>
      <c r="E70" s="10">
        <v>4</v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1">
        <v>4</v>
      </c>
    </row>
    <row r="71" spans="1:18" x14ac:dyDescent="0.3">
      <c r="A71" s="7"/>
      <c r="B71" s="9" t="s">
        <v>596</v>
      </c>
      <c r="C71" s="9"/>
      <c r="D71" s="10"/>
      <c r="E71" s="10"/>
      <c r="F71" s="10"/>
      <c r="G71" s="10"/>
      <c r="H71" s="10"/>
      <c r="I71" s="10"/>
      <c r="J71" s="10"/>
      <c r="K71" s="10">
        <v>11</v>
      </c>
      <c r="L71" s="10"/>
      <c r="M71" s="10"/>
      <c r="N71" s="10"/>
      <c r="O71" s="10"/>
      <c r="P71" s="10"/>
      <c r="Q71" s="10"/>
      <c r="R71" s="11">
        <v>11</v>
      </c>
    </row>
    <row r="72" spans="1:18" x14ac:dyDescent="0.3">
      <c r="A72" s="7"/>
      <c r="B72" s="9" t="s">
        <v>597</v>
      </c>
      <c r="C72" s="9"/>
      <c r="D72" s="10"/>
      <c r="E72" s="10"/>
      <c r="F72" s="10"/>
      <c r="G72" s="10"/>
      <c r="H72" s="10"/>
      <c r="I72" s="10"/>
      <c r="J72" s="10"/>
      <c r="K72" s="10">
        <v>1</v>
      </c>
      <c r="L72" s="10"/>
      <c r="M72" s="10"/>
      <c r="N72" s="10"/>
      <c r="O72" s="10"/>
      <c r="P72" s="10"/>
      <c r="Q72" s="10"/>
      <c r="R72" s="11">
        <v>1</v>
      </c>
    </row>
    <row r="73" spans="1:18" x14ac:dyDescent="0.3">
      <c r="A73" s="7"/>
      <c r="B73" s="9" t="s">
        <v>598</v>
      </c>
      <c r="C73" s="9"/>
      <c r="D73" s="10"/>
      <c r="E73" s="10">
        <v>11</v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1">
        <v>11</v>
      </c>
    </row>
    <row r="74" spans="1:18" x14ac:dyDescent="0.3">
      <c r="A74" s="7"/>
      <c r="B74" s="9" t="s">
        <v>599</v>
      </c>
      <c r="C74" s="9"/>
      <c r="D74" s="10"/>
      <c r="E74" s="10">
        <v>10</v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1">
        <v>10</v>
      </c>
    </row>
    <row r="75" spans="1:18" x14ac:dyDescent="0.3">
      <c r="A75" s="7"/>
      <c r="B75" s="9" t="s">
        <v>600</v>
      </c>
      <c r="C75" s="9"/>
      <c r="D75" s="10"/>
      <c r="E75" s="10">
        <v>11</v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1">
        <v>11</v>
      </c>
    </row>
    <row r="76" spans="1:18" x14ac:dyDescent="0.3">
      <c r="A76" s="7"/>
      <c r="B76" s="9" t="s">
        <v>601</v>
      </c>
      <c r="C76" s="9"/>
      <c r="D76" s="10"/>
      <c r="E76" s="10">
        <v>13</v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1">
        <v>13</v>
      </c>
    </row>
    <row r="77" spans="1:18" x14ac:dyDescent="0.3">
      <c r="A77" s="7"/>
      <c r="B77" s="9" t="s">
        <v>602</v>
      </c>
      <c r="C77" s="9"/>
      <c r="D77" s="10"/>
      <c r="E77" s="10">
        <v>3</v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1">
        <v>3</v>
      </c>
    </row>
    <row r="78" spans="1:18" x14ac:dyDescent="0.3">
      <c r="A78" s="7"/>
      <c r="B78" s="9" t="s">
        <v>603</v>
      </c>
      <c r="C78" s="9"/>
      <c r="D78" s="10"/>
      <c r="E78" s="10">
        <v>9</v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1">
        <v>9</v>
      </c>
    </row>
    <row r="79" spans="1:18" x14ac:dyDescent="0.3">
      <c r="A79" s="7"/>
      <c r="B79" s="9" t="s">
        <v>604</v>
      </c>
      <c r="C79" s="9"/>
      <c r="D79" s="10"/>
      <c r="E79" s="10">
        <v>2</v>
      </c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1">
        <v>2</v>
      </c>
    </row>
    <row r="80" spans="1:18" x14ac:dyDescent="0.3">
      <c r="A80" s="7"/>
      <c r="B80" s="9" t="s">
        <v>605</v>
      </c>
      <c r="C80" s="9"/>
      <c r="D80" s="10"/>
      <c r="E80" s="10">
        <v>1</v>
      </c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1">
        <v>1</v>
      </c>
    </row>
    <row r="81" spans="1:18" x14ac:dyDescent="0.3">
      <c r="A81" s="7"/>
      <c r="B81" s="9" t="s">
        <v>606</v>
      </c>
      <c r="C81" s="9"/>
      <c r="D81" s="10"/>
      <c r="E81" s="10">
        <v>4</v>
      </c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1">
        <v>4</v>
      </c>
    </row>
    <row r="82" spans="1:18" x14ac:dyDescent="0.3">
      <c r="A82" s="7"/>
      <c r="B82" s="9" t="s">
        <v>607</v>
      </c>
      <c r="C82" s="9"/>
      <c r="D82" s="10"/>
      <c r="E82" s="10"/>
      <c r="F82" s="10"/>
      <c r="G82" s="10"/>
      <c r="H82" s="10"/>
      <c r="I82" s="10"/>
      <c r="J82" s="10"/>
      <c r="K82" s="10">
        <v>9</v>
      </c>
      <c r="L82" s="10"/>
      <c r="M82" s="10"/>
      <c r="N82" s="10"/>
      <c r="O82" s="10"/>
      <c r="P82" s="10"/>
      <c r="Q82" s="10"/>
      <c r="R82" s="11">
        <v>9</v>
      </c>
    </row>
    <row r="83" spans="1:18" x14ac:dyDescent="0.3">
      <c r="A83" s="7"/>
      <c r="B83" s="9" t="s">
        <v>608</v>
      </c>
      <c r="C83" s="9"/>
      <c r="D83" s="10"/>
      <c r="E83" s="10"/>
      <c r="F83" s="10"/>
      <c r="G83" s="10"/>
      <c r="H83" s="10"/>
      <c r="I83" s="10"/>
      <c r="J83" s="10"/>
      <c r="K83" s="10">
        <v>19</v>
      </c>
      <c r="L83" s="10"/>
      <c r="M83" s="10"/>
      <c r="N83" s="10"/>
      <c r="O83" s="10"/>
      <c r="P83" s="10"/>
      <c r="Q83" s="10"/>
      <c r="R83" s="11">
        <v>19</v>
      </c>
    </row>
    <row r="84" spans="1:18" x14ac:dyDescent="0.3">
      <c r="A84" s="7"/>
      <c r="B84" s="9" t="s">
        <v>609</v>
      </c>
      <c r="C84" s="9"/>
      <c r="D84" s="10"/>
      <c r="E84" s="10"/>
      <c r="F84" s="10"/>
      <c r="G84" s="10"/>
      <c r="H84" s="10"/>
      <c r="I84" s="10"/>
      <c r="J84" s="10"/>
      <c r="K84" s="10">
        <v>9</v>
      </c>
      <c r="L84" s="10"/>
      <c r="M84" s="10"/>
      <c r="N84" s="10"/>
      <c r="O84" s="10"/>
      <c r="P84" s="10"/>
      <c r="Q84" s="10"/>
      <c r="R84" s="11">
        <v>9</v>
      </c>
    </row>
    <row r="85" spans="1:18" x14ac:dyDescent="0.3">
      <c r="A85" s="7"/>
      <c r="B85" s="9" t="s">
        <v>610</v>
      </c>
      <c r="C85" s="9">
        <v>39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1">
        <v>39</v>
      </c>
    </row>
    <row r="86" spans="1:18" x14ac:dyDescent="0.3">
      <c r="A86" s="7"/>
      <c r="B86" s="9" t="s">
        <v>611</v>
      </c>
      <c r="C86" s="9">
        <v>61</v>
      </c>
      <c r="D86" s="10"/>
      <c r="E86" s="10"/>
      <c r="F86" s="10"/>
      <c r="G86" s="10"/>
      <c r="H86" s="10">
        <v>39</v>
      </c>
      <c r="I86" s="10"/>
      <c r="J86" s="10"/>
      <c r="K86" s="10"/>
      <c r="L86" s="10"/>
      <c r="M86" s="10"/>
      <c r="N86" s="10"/>
      <c r="O86" s="10"/>
      <c r="P86" s="10"/>
      <c r="Q86" s="10"/>
      <c r="R86" s="11">
        <v>100</v>
      </c>
    </row>
    <row r="87" spans="1:18" x14ac:dyDescent="0.3">
      <c r="A87" s="7"/>
      <c r="B87" s="9" t="s">
        <v>612</v>
      </c>
      <c r="C87" s="9"/>
      <c r="D87" s="10"/>
      <c r="E87" s="10"/>
      <c r="F87" s="10"/>
      <c r="G87" s="10"/>
      <c r="H87" s="10">
        <v>70.900000000000006</v>
      </c>
      <c r="I87" s="10"/>
      <c r="J87" s="10">
        <v>3</v>
      </c>
      <c r="K87" s="10"/>
      <c r="L87" s="10"/>
      <c r="M87" s="10"/>
      <c r="N87" s="10"/>
      <c r="O87" s="10"/>
      <c r="P87" s="10">
        <v>50</v>
      </c>
      <c r="Q87" s="10"/>
      <c r="R87" s="11">
        <v>123.9</v>
      </c>
    </row>
    <row r="88" spans="1:18" x14ac:dyDescent="0.3">
      <c r="A88" s="7"/>
      <c r="B88" s="9" t="s">
        <v>613</v>
      </c>
      <c r="C88" s="9">
        <v>228.5</v>
      </c>
      <c r="D88" s="10"/>
      <c r="E88" s="10"/>
      <c r="F88" s="10"/>
      <c r="G88" s="10"/>
      <c r="H88" s="10"/>
      <c r="I88" s="10">
        <v>1</v>
      </c>
      <c r="J88" s="10">
        <v>3</v>
      </c>
      <c r="K88" s="10"/>
      <c r="L88" s="10"/>
      <c r="M88" s="10"/>
      <c r="N88" s="10"/>
      <c r="O88" s="10"/>
      <c r="P88" s="10">
        <v>8</v>
      </c>
      <c r="Q88" s="10"/>
      <c r="R88" s="11">
        <v>240.5</v>
      </c>
    </row>
    <row r="89" spans="1:18" x14ac:dyDescent="0.3">
      <c r="A89" s="7"/>
      <c r="B89" s="9" t="s">
        <v>614</v>
      </c>
      <c r="C89" s="9"/>
      <c r="D89" s="10"/>
      <c r="E89" s="10"/>
      <c r="F89" s="10"/>
      <c r="G89" s="10"/>
      <c r="H89" s="10"/>
      <c r="I89" s="10"/>
      <c r="J89" s="10">
        <v>51</v>
      </c>
      <c r="K89" s="10"/>
      <c r="L89" s="10"/>
      <c r="M89" s="10"/>
      <c r="N89" s="10"/>
      <c r="O89" s="10"/>
      <c r="P89" s="10">
        <v>38</v>
      </c>
      <c r="Q89" s="10"/>
      <c r="R89" s="11">
        <v>89</v>
      </c>
    </row>
    <row r="90" spans="1:18" x14ac:dyDescent="0.3">
      <c r="A90" s="7"/>
      <c r="B90" s="9" t="s">
        <v>615</v>
      </c>
      <c r="C90" s="9"/>
      <c r="D90" s="10"/>
      <c r="E90" s="10">
        <v>11</v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1">
        <v>11</v>
      </c>
    </row>
    <row r="91" spans="1:18" x14ac:dyDescent="0.3">
      <c r="A91" s="7"/>
      <c r="B91" s="9" t="s">
        <v>616</v>
      </c>
      <c r="C91" s="9"/>
      <c r="D91" s="10"/>
      <c r="E91" s="10">
        <v>3</v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1">
        <v>3</v>
      </c>
    </row>
    <row r="92" spans="1:18" x14ac:dyDescent="0.3">
      <c r="A92" s="7"/>
      <c r="B92" s="9" t="s">
        <v>617</v>
      </c>
      <c r="C92" s="9"/>
      <c r="D92" s="10"/>
      <c r="E92" s="10">
        <v>3</v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1">
        <v>3</v>
      </c>
    </row>
    <row r="93" spans="1:18" x14ac:dyDescent="0.3">
      <c r="A93" s="7"/>
      <c r="B93" s="9" t="s">
        <v>618</v>
      </c>
      <c r="C93" s="9"/>
      <c r="D93" s="10"/>
      <c r="E93" s="10"/>
      <c r="F93" s="10"/>
      <c r="G93" s="10"/>
      <c r="H93" s="10"/>
      <c r="I93" s="10"/>
      <c r="J93" s="10"/>
      <c r="K93" s="10">
        <v>3</v>
      </c>
      <c r="L93" s="10"/>
      <c r="M93" s="10"/>
      <c r="N93" s="10"/>
      <c r="O93" s="10"/>
      <c r="P93" s="10"/>
      <c r="Q93" s="10"/>
      <c r="R93" s="11">
        <v>3</v>
      </c>
    </row>
    <row r="94" spans="1:18" x14ac:dyDescent="0.3">
      <c r="A94" s="7"/>
      <c r="B94" s="9" t="s">
        <v>619</v>
      </c>
      <c r="C94" s="9"/>
      <c r="D94" s="10"/>
      <c r="E94" s="10"/>
      <c r="F94" s="10">
        <v>13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1">
        <v>13</v>
      </c>
    </row>
    <row r="95" spans="1:18" x14ac:dyDescent="0.3">
      <c r="A95" s="7"/>
      <c r="B95" s="9" t="s">
        <v>620</v>
      </c>
      <c r="C95" s="9"/>
      <c r="D95" s="10"/>
      <c r="E95" s="10"/>
      <c r="F95" s="10"/>
      <c r="G95" s="10"/>
      <c r="H95" s="10">
        <v>53</v>
      </c>
      <c r="I95" s="10"/>
      <c r="J95" s="10"/>
      <c r="K95" s="10"/>
      <c r="L95" s="10"/>
      <c r="M95" s="10"/>
      <c r="N95" s="10"/>
      <c r="O95" s="10"/>
      <c r="P95" s="10"/>
      <c r="Q95" s="10"/>
      <c r="R95" s="11">
        <v>53</v>
      </c>
    </row>
    <row r="96" spans="1:18" x14ac:dyDescent="0.3">
      <c r="A96" s="7"/>
      <c r="B96" s="9" t="s">
        <v>621</v>
      </c>
      <c r="C96" s="9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>
        <v>3</v>
      </c>
      <c r="R96" s="11">
        <v>3</v>
      </c>
    </row>
    <row r="97" spans="1:18" x14ac:dyDescent="0.3">
      <c r="A97" s="7"/>
      <c r="B97" s="9" t="s">
        <v>622</v>
      </c>
      <c r="C97" s="9"/>
      <c r="D97" s="10"/>
      <c r="E97" s="10"/>
      <c r="F97" s="10">
        <v>3</v>
      </c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1">
        <v>3</v>
      </c>
    </row>
    <row r="98" spans="1:18" x14ac:dyDescent="0.3">
      <c r="A98" s="7"/>
      <c r="B98" s="9" t="s">
        <v>623</v>
      </c>
      <c r="C98" s="9"/>
      <c r="D98" s="10">
        <v>2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1">
        <v>2</v>
      </c>
    </row>
    <row r="99" spans="1:18" x14ac:dyDescent="0.3">
      <c r="A99" s="7"/>
      <c r="B99" s="9" t="s">
        <v>624</v>
      </c>
      <c r="C99" s="9">
        <v>1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1">
        <v>1</v>
      </c>
    </row>
    <row r="100" spans="1:18" x14ac:dyDescent="0.3">
      <c r="A100" s="7"/>
      <c r="B100" s="9" t="s">
        <v>625</v>
      </c>
      <c r="C100" s="9"/>
      <c r="D100" s="10"/>
      <c r="E100" s="10"/>
      <c r="F100" s="10"/>
      <c r="G100" s="10"/>
      <c r="H100" s="10">
        <v>38</v>
      </c>
      <c r="I100" s="10"/>
      <c r="J100" s="10">
        <v>5</v>
      </c>
      <c r="K100" s="10"/>
      <c r="L100" s="10"/>
      <c r="M100" s="10"/>
      <c r="N100" s="10"/>
      <c r="O100" s="10"/>
      <c r="P100" s="10"/>
      <c r="Q100" s="10"/>
      <c r="R100" s="11">
        <v>43</v>
      </c>
    </row>
    <row r="101" spans="1:18" x14ac:dyDescent="0.3">
      <c r="A101" s="7"/>
      <c r="B101" s="9" t="s">
        <v>626</v>
      </c>
      <c r="C101" s="9"/>
      <c r="D101" s="10"/>
      <c r="E101" s="10"/>
      <c r="F101" s="10"/>
      <c r="G101" s="10"/>
      <c r="H101" s="10"/>
      <c r="I101" s="10"/>
      <c r="J101" s="10">
        <v>2</v>
      </c>
      <c r="K101" s="10"/>
      <c r="L101" s="10"/>
      <c r="M101" s="10"/>
      <c r="N101" s="10"/>
      <c r="O101" s="10"/>
      <c r="P101" s="10">
        <v>92</v>
      </c>
      <c r="Q101" s="10"/>
      <c r="R101" s="11">
        <v>94</v>
      </c>
    </row>
    <row r="102" spans="1:18" x14ac:dyDescent="0.3">
      <c r="A102" s="7"/>
      <c r="B102" s="9" t="s">
        <v>627</v>
      </c>
      <c r="C102" s="9"/>
      <c r="D102" s="10"/>
      <c r="E102" s="10"/>
      <c r="F102" s="10"/>
      <c r="G102" s="10"/>
      <c r="H102" s="10">
        <v>130</v>
      </c>
      <c r="I102" s="10"/>
      <c r="J102" s="10">
        <v>81</v>
      </c>
      <c r="K102" s="10"/>
      <c r="L102" s="10"/>
      <c r="M102" s="10"/>
      <c r="N102" s="10"/>
      <c r="O102" s="10"/>
      <c r="P102" s="10">
        <v>10</v>
      </c>
      <c r="Q102" s="10"/>
      <c r="R102" s="11">
        <v>221</v>
      </c>
    </row>
    <row r="103" spans="1:18" x14ac:dyDescent="0.3">
      <c r="A103" s="7"/>
      <c r="B103" s="8" t="s">
        <v>628</v>
      </c>
      <c r="C103" s="9"/>
      <c r="D103" s="10">
        <v>2</v>
      </c>
      <c r="E103" s="10"/>
      <c r="F103" s="10">
        <v>4</v>
      </c>
      <c r="G103" s="10"/>
      <c r="H103" s="10"/>
      <c r="I103" s="10"/>
      <c r="J103" s="10"/>
      <c r="K103" s="10"/>
      <c r="L103" s="10"/>
      <c r="M103" s="10">
        <v>2</v>
      </c>
      <c r="N103" s="10"/>
      <c r="O103" s="10"/>
      <c r="P103" s="10"/>
      <c r="Q103" s="10"/>
      <c r="R103" s="11">
        <v>8</v>
      </c>
    </row>
    <row r="104" spans="1:18" x14ac:dyDescent="0.3">
      <c r="A104" s="7"/>
      <c r="B104" s="9" t="s">
        <v>629</v>
      </c>
      <c r="C104" s="9"/>
      <c r="D104" s="10"/>
      <c r="E104" s="10"/>
      <c r="F104" s="10"/>
      <c r="G104" s="10"/>
      <c r="H104" s="10">
        <v>22</v>
      </c>
      <c r="I104" s="10">
        <v>9</v>
      </c>
      <c r="J104" s="10">
        <v>3</v>
      </c>
      <c r="K104" s="10"/>
      <c r="L104" s="10"/>
      <c r="M104" s="10"/>
      <c r="N104" s="10"/>
      <c r="O104" s="10"/>
      <c r="P104" s="10">
        <v>3.5</v>
      </c>
      <c r="Q104" s="10"/>
      <c r="R104" s="11">
        <v>37.5</v>
      </c>
    </row>
    <row r="105" spans="1:18" x14ac:dyDescent="0.3">
      <c r="A105" s="7"/>
      <c r="B105" s="9" t="s">
        <v>630</v>
      </c>
      <c r="C105" s="9"/>
      <c r="D105" s="10"/>
      <c r="E105" s="10"/>
      <c r="F105" s="10"/>
      <c r="G105" s="10"/>
      <c r="H105" s="10">
        <v>4</v>
      </c>
      <c r="I105" s="10">
        <v>4</v>
      </c>
      <c r="J105" s="10">
        <v>5</v>
      </c>
      <c r="K105" s="10">
        <v>4</v>
      </c>
      <c r="L105" s="10"/>
      <c r="M105" s="10"/>
      <c r="N105" s="10"/>
      <c r="O105" s="10"/>
      <c r="P105" s="10"/>
      <c r="Q105" s="10"/>
      <c r="R105" s="11">
        <v>17</v>
      </c>
    </row>
    <row r="106" spans="1:18" x14ac:dyDescent="0.3">
      <c r="A106" s="7"/>
      <c r="B106" s="9" t="s">
        <v>631</v>
      </c>
      <c r="C106" s="9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>
        <v>0.5</v>
      </c>
      <c r="O106" s="10"/>
      <c r="P106" s="10"/>
      <c r="Q106" s="10"/>
      <c r="R106" s="11">
        <v>0.5</v>
      </c>
    </row>
    <row r="107" spans="1:18" x14ac:dyDescent="0.3">
      <c r="A107" s="7"/>
      <c r="B107" s="9" t="s">
        <v>632</v>
      </c>
      <c r="C107" s="9">
        <v>26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1">
        <v>26</v>
      </c>
    </row>
    <row r="108" spans="1:18" x14ac:dyDescent="0.3">
      <c r="A108" s="7"/>
      <c r="B108" s="9" t="s">
        <v>633</v>
      </c>
      <c r="C108" s="9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>
        <v>2</v>
      </c>
      <c r="R108" s="11">
        <v>2</v>
      </c>
    </row>
    <row r="109" spans="1:18" x14ac:dyDescent="0.3">
      <c r="A109" s="7"/>
      <c r="B109" s="9" t="s">
        <v>634</v>
      </c>
      <c r="C109" s="9">
        <v>132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1">
        <v>132</v>
      </c>
    </row>
    <row r="110" spans="1:18" x14ac:dyDescent="0.3">
      <c r="A110" s="7"/>
      <c r="B110" s="9" t="s">
        <v>635</v>
      </c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>
        <v>1</v>
      </c>
      <c r="R110" s="11">
        <v>1</v>
      </c>
    </row>
    <row r="111" spans="1:18" x14ac:dyDescent="0.3">
      <c r="A111" s="7"/>
      <c r="B111" s="9" t="s">
        <v>636</v>
      </c>
      <c r="C111" s="9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>
        <v>3</v>
      </c>
      <c r="R111" s="11">
        <v>3</v>
      </c>
    </row>
    <row r="112" spans="1:18" x14ac:dyDescent="0.3">
      <c r="A112" s="7"/>
      <c r="B112" s="9" t="s">
        <v>637</v>
      </c>
      <c r="C112" s="9">
        <v>13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1">
        <v>13</v>
      </c>
    </row>
    <row r="113" spans="1:18" x14ac:dyDescent="0.3">
      <c r="A113" s="7"/>
      <c r="B113" s="9" t="s">
        <v>638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>
        <v>11</v>
      </c>
      <c r="Q113" s="10"/>
      <c r="R113" s="11">
        <v>11</v>
      </c>
    </row>
    <row r="114" spans="1:18" x14ac:dyDescent="0.3">
      <c r="A114" s="7"/>
      <c r="B114" s="9" t="s">
        <v>639</v>
      </c>
      <c r="C114" s="9">
        <v>20</v>
      </c>
      <c r="D114" s="10"/>
      <c r="E114" s="10"/>
      <c r="F114" s="10"/>
      <c r="G114" s="10"/>
      <c r="H114" s="10">
        <v>28.3</v>
      </c>
      <c r="I114" s="10"/>
      <c r="J114" s="10">
        <v>19</v>
      </c>
      <c r="K114" s="10"/>
      <c r="L114" s="10">
        <v>149.5</v>
      </c>
      <c r="M114" s="10"/>
      <c r="N114" s="10"/>
      <c r="O114" s="10"/>
      <c r="P114" s="10"/>
      <c r="Q114" s="10"/>
      <c r="R114" s="11">
        <v>216.8</v>
      </c>
    </row>
    <row r="115" spans="1:18" x14ac:dyDescent="0.3">
      <c r="A115" s="7"/>
      <c r="B115" s="9" t="s">
        <v>640</v>
      </c>
      <c r="C115" s="9"/>
      <c r="D115" s="10"/>
      <c r="E115" s="10"/>
      <c r="F115" s="10"/>
      <c r="G115" s="10"/>
      <c r="H115" s="10">
        <v>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1">
        <v>6</v>
      </c>
    </row>
    <row r="116" spans="1:18" x14ac:dyDescent="0.3">
      <c r="A116" s="7"/>
      <c r="B116" s="9" t="s">
        <v>641</v>
      </c>
      <c r="C116" s="9"/>
      <c r="D116" s="10"/>
      <c r="E116" s="10">
        <v>3</v>
      </c>
      <c r="F116" s="10"/>
      <c r="G116" s="10"/>
      <c r="H116" s="10"/>
      <c r="I116" s="10"/>
      <c r="J116" s="10"/>
      <c r="K116" s="10">
        <v>3</v>
      </c>
      <c r="L116" s="10"/>
      <c r="M116" s="10"/>
      <c r="N116" s="10"/>
      <c r="O116" s="10"/>
      <c r="P116" s="10"/>
      <c r="Q116" s="10"/>
      <c r="R116" s="11">
        <v>6</v>
      </c>
    </row>
    <row r="117" spans="1:18" x14ac:dyDescent="0.3">
      <c r="A117" s="7"/>
      <c r="B117" s="9" t="s">
        <v>642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>
        <v>1</v>
      </c>
      <c r="N117" s="10"/>
      <c r="O117" s="10"/>
      <c r="P117" s="10"/>
      <c r="Q117" s="10"/>
      <c r="R117" s="11">
        <v>1</v>
      </c>
    </row>
    <row r="118" spans="1:18" x14ac:dyDescent="0.3">
      <c r="A118" s="7"/>
      <c r="B118" s="9" t="s">
        <v>643</v>
      </c>
      <c r="C118" s="9"/>
      <c r="D118" s="10"/>
      <c r="E118" s="10"/>
      <c r="F118" s="10"/>
      <c r="G118" s="10"/>
      <c r="H118" s="10">
        <v>37</v>
      </c>
      <c r="I118" s="10"/>
      <c r="J118" s="10">
        <v>2</v>
      </c>
      <c r="K118" s="10"/>
      <c r="L118" s="10"/>
      <c r="M118" s="10"/>
      <c r="N118" s="10"/>
      <c r="O118" s="10"/>
      <c r="P118" s="10"/>
      <c r="Q118" s="10"/>
      <c r="R118" s="11">
        <v>39</v>
      </c>
    </row>
    <row r="119" spans="1:18" x14ac:dyDescent="0.3">
      <c r="A119" s="7"/>
      <c r="B119" s="9" t="s">
        <v>644</v>
      </c>
      <c r="C119" s="9"/>
      <c r="D119" s="10"/>
      <c r="E119" s="10"/>
      <c r="F119" s="10"/>
      <c r="G119" s="10"/>
      <c r="H119" s="10">
        <v>40.6</v>
      </c>
      <c r="I119" s="10"/>
      <c r="J119" s="10">
        <v>3</v>
      </c>
      <c r="K119" s="10"/>
      <c r="L119" s="10"/>
      <c r="M119" s="10">
        <v>6</v>
      </c>
      <c r="N119" s="10"/>
      <c r="O119" s="10"/>
      <c r="P119" s="10"/>
      <c r="Q119" s="10"/>
      <c r="R119" s="11">
        <v>49.6</v>
      </c>
    </row>
    <row r="120" spans="1:18" x14ac:dyDescent="0.3">
      <c r="A120" s="7"/>
      <c r="B120" s="9" t="s">
        <v>645</v>
      </c>
      <c r="C120" s="9"/>
      <c r="D120" s="10"/>
      <c r="E120" s="10"/>
      <c r="F120" s="10"/>
      <c r="G120" s="10"/>
      <c r="H120" s="10">
        <v>30</v>
      </c>
      <c r="I120" s="10"/>
      <c r="J120" s="10">
        <v>16</v>
      </c>
      <c r="K120" s="10"/>
      <c r="L120" s="10">
        <v>12</v>
      </c>
      <c r="M120" s="10"/>
      <c r="N120" s="10"/>
      <c r="O120" s="10"/>
      <c r="P120" s="10"/>
      <c r="Q120" s="10"/>
      <c r="R120" s="11">
        <v>58</v>
      </c>
    </row>
    <row r="121" spans="1:18" x14ac:dyDescent="0.3">
      <c r="A121" s="7"/>
      <c r="B121" s="9" t="s">
        <v>646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>
        <v>6</v>
      </c>
      <c r="M121" s="10"/>
      <c r="N121" s="10"/>
      <c r="O121" s="10"/>
      <c r="P121" s="10">
        <v>5</v>
      </c>
      <c r="Q121" s="10"/>
      <c r="R121" s="11">
        <v>11</v>
      </c>
    </row>
    <row r="122" spans="1:18" x14ac:dyDescent="0.3">
      <c r="A122" s="7"/>
      <c r="B122" s="9" t="s">
        <v>489</v>
      </c>
      <c r="C122" s="9"/>
      <c r="D122" s="10"/>
      <c r="E122" s="10"/>
      <c r="F122" s="10"/>
      <c r="G122" s="10"/>
      <c r="H122" s="10">
        <v>2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1">
        <v>2</v>
      </c>
    </row>
    <row r="123" spans="1:18" x14ac:dyDescent="0.3">
      <c r="A123" s="7"/>
      <c r="B123" s="9" t="s">
        <v>647</v>
      </c>
      <c r="C123" s="9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>
        <v>1</v>
      </c>
      <c r="R123" s="11">
        <v>1</v>
      </c>
    </row>
    <row r="124" spans="1:18" x14ac:dyDescent="0.3">
      <c r="A124" s="7"/>
      <c r="B124" s="9" t="s">
        <v>648</v>
      </c>
      <c r="C124" s="9"/>
      <c r="D124" s="10"/>
      <c r="E124" s="10">
        <v>1</v>
      </c>
      <c r="F124" s="10"/>
      <c r="G124" s="10"/>
      <c r="H124" s="10"/>
      <c r="I124" s="10"/>
      <c r="J124" s="10"/>
      <c r="K124" s="10"/>
      <c r="L124" s="10"/>
      <c r="M124" s="10"/>
      <c r="N124" s="10">
        <v>0.5</v>
      </c>
      <c r="O124" s="10"/>
      <c r="P124" s="10"/>
      <c r="Q124" s="10"/>
      <c r="R124" s="11">
        <v>1.5</v>
      </c>
    </row>
    <row r="125" spans="1:18" x14ac:dyDescent="0.3">
      <c r="A125" s="7"/>
      <c r="B125" s="9" t="s">
        <v>649</v>
      </c>
      <c r="C125" s="9">
        <v>1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1">
        <v>1</v>
      </c>
    </row>
    <row r="126" spans="1:18" x14ac:dyDescent="0.3">
      <c r="A126" s="7"/>
      <c r="B126" s="9" t="s">
        <v>650</v>
      </c>
      <c r="C126" s="9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>
        <v>1</v>
      </c>
      <c r="O126" s="10"/>
      <c r="P126" s="10"/>
      <c r="Q126" s="10"/>
      <c r="R126" s="11">
        <v>1</v>
      </c>
    </row>
    <row r="127" spans="1:18" x14ac:dyDescent="0.3">
      <c r="A127" s="7"/>
      <c r="B127" s="9" t="s">
        <v>651</v>
      </c>
      <c r="C127" s="9"/>
      <c r="D127" s="10"/>
      <c r="E127" s="10"/>
      <c r="F127" s="10">
        <v>6</v>
      </c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1">
        <v>6</v>
      </c>
    </row>
    <row r="128" spans="1:18" x14ac:dyDescent="0.3">
      <c r="A128" s="7"/>
      <c r="B128" s="9" t="s">
        <v>652</v>
      </c>
      <c r="C128" s="9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>
        <v>2</v>
      </c>
      <c r="R128" s="11">
        <v>2</v>
      </c>
    </row>
    <row r="129" spans="1:18" x14ac:dyDescent="0.3">
      <c r="A129" s="7"/>
      <c r="B129" s="9" t="s">
        <v>653</v>
      </c>
      <c r="C129" s="9"/>
      <c r="D129" s="10"/>
      <c r="E129" s="10"/>
      <c r="F129" s="10">
        <v>16</v>
      </c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>
        <v>3</v>
      </c>
      <c r="R129" s="11">
        <v>19</v>
      </c>
    </row>
    <row r="130" spans="1:18" x14ac:dyDescent="0.3">
      <c r="A130" s="7"/>
      <c r="B130" s="9" t="s">
        <v>654</v>
      </c>
      <c r="C130" s="9"/>
      <c r="D130" s="10"/>
      <c r="E130" s="10"/>
      <c r="F130" s="10"/>
      <c r="G130" s="10"/>
      <c r="H130" s="10">
        <v>4</v>
      </c>
      <c r="I130" s="10"/>
      <c r="J130" s="10"/>
      <c r="K130" s="10"/>
      <c r="L130" s="10"/>
      <c r="M130" s="10"/>
      <c r="N130" s="10"/>
      <c r="O130" s="10"/>
      <c r="P130" s="10"/>
      <c r="Q130" s="10">
        <v>4</v>
      </c>
      <c r="R130" s="11">
        <v>8</v>
      </c>
    </row>
    <row r="131" spans="1:18" x14ac:dyDescent="0.3">
      <c r="A131" s="7"/>
      <c r="B131" s="9" t="s">
        <v>655</v>
      </c>
      <c r="C131" s="9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>
        <v>7</v>
      </c>
      <c r="R131" s="11">
        <v>7</v>
      </c>
    </row>
    <row r="132" spans="1:18" x14ac:dyDescent="0.3">
      <c r="A132" s="7"/>
      <c r="B132" s="9" t="s">
        <v>656</v>
      </c>
      <c r="C132" s="9"/>
      <c r="D132" s="10"/>
      <c r="E132" s="10"/>
      <c r="F132" s="10"/>
      <c r="G132" s="10"/>
      <c r="H132" s="10">
        <v>1</v>
      </c>
      <c r="I132" s="10"/>
      <c r="J132" s="10"/>
      <c r="K132" s="10"/>
      <c r="L132" s="10"/>
      <c r="M132" s="10"/>
      <c r="N132" s="10"/>
      <c r="O132" s="10"/>
      <c r="P132" s="10"/>
      <c r="Q132" s="10"/>
      <c r="R132" s="11">
        <v>1</v>
      </c>
    </row>
    <row r="133" spans="1:18" x14ac:dyDescent="0.3">
      <c r="A133" s="7"/>
      <c r="B133" s="9" t="s">
        <v>657</v>
      </c>
      <c r="C133" s="9">
        <v>1</v>
      </c>
      <c r="D133" s="10"/>
      <c r="E133" s="10"/>
      <c r="F133" s="10"/>
      <c r="G133" s="10"/>
      <c r="H133" s="10">
        <v>1</v>
      </c>
      <c r="I133" s="10"/>
      <c r="J133" s="10"/>
      <c r="K133" s="10"/>
      <c r="L133" s="10"/>
      <c r="M133" s="10"/>
      <c r="N133" s="10"/>
      <c r="O133" s="10"/>
      <c r="P133" s="10"/>
      <c r="Q133" s="10"/>
      <c r="R133" s="11">
        <v>2</v>
      </c>
    </row>
    <row r="134" spans="1:18" x14ac:dyDescent="0.3">
      <c r="A134" s="7"/>
      <c r="B134" s="9" t="s">
        <v>658</v>
      </c>
      <c r="C134" s="9">
        <v>4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1">
        <v>4</v>
      </c>
    </row>
    <row r="135" spans="1:18" x14ac:dyDescent="0.3">
      <c r="A135" s="7"/>
      <c r="B135" s="9" t="s">
        <v>659</v>
      </c>
      <c r="C135" s="9"/>
      <c r="D135" s="10"/>
      <c r="E135" s="10"/>
      <c r="F135" s="10"/>
      <c r="G135" s="10"/>
      <c r="H135" s="10">
        <v>6</v>
      </c>
      <c r="I135" s="10"/>
      <c r="J135" s="10"/>
      <c r="K135" s="10"/>
      <c r="L135" s="10"/>
      <c r="M135" s="10"/>
      <c r="N135" s="10"/>
      <c r="O135" s="10"/>
      <c r="P135" s="10"/>
      <c r="Q135" s="10"/>
      <c r="R135" s="11">
        <v>6</v>
      </c>
    </row>
    <row r="136" spans="1:18" x14ac:dyDescent="0.3">
      <c r="A136" s="7"/>
      <c r="B136" s="9" t="s">
        <v>660</v>
      </c>
      <c r="C136" s="9"/>
      <c r="D136" s="10"/>
      <c r="E136" s="10"/>
      <c r="F136" s="10"/>
      <c r="G136" s="10"/>
      <c r="H136" s="10">
        <v>7</v>
      </c>
      <c r="I136" s="10">
        <v>1</v>
      </c>
      <c r="J136" s="10"/>
      <c r="K136" s="10"/>
      <c r="L136" s="10"/>
      <c r="M136" s="10"/>
      <c r="N136" s="10"/>
      <c r="O136" s="10"/>
      <c r="P136" s="10"/>
      <c r="Q136" s="10"/>
      <c r="R136" s="11">
        <v>8</v>
      </c>
    </row>
    <row r="137" spans="1:18" x14ac:dyDescent="0.3">
      <c r="A137" s="7"/>
      <c r="B137" s="9" t="s">
        <v>661</v>
      </c>
      <c r="C137" s="9"/>
      <c r="D137" s="10"/>
      <c r="E137" s="10"/>
      <c r="F137" s="10"/>
      <c r="G137" s="10"/>
      <c r="H137" s="10"/>
      <c r="I137" s="10"/>
      <c r="J137" s="10"/>
      <c r="K137" s="10"/>
      <c r="L137" s="10"/>
      <c r="M137" s="10">
        <v>3</v>
      </c>
      <c r="N137" s="10"/>
      <c r="O137" s="10"/>
      <c r="P137" s="10"/>
      <c r="Q137" s="10"/>
      <c r="R137" s="11">
        <v>3</v>
      </c>
    </row>
    <row r="138" spans="1:18" x14ac:dyDescent="0.3">
      <c r="A138" s="7"/>
      <c r="B138" s="9" t="s">
        <v>662</v>
      </c>
      <c r="C138" s="9"/>
      <c r="D138" s="10"/>
      <c r="E138" s="10"/>
      <c r="F138" s="10"/>
      <c r="G138" s="10"/>
      <c r="H138" s="10"/>
      <c r="I138" s="10"/>
      <c r="J138" s="10">
        <v>1</v>
      </c>
      <c r="K138" s="10"/>
      <c r="L138" s="10"/>
      <c r="M138" s="10"/>
      <c r="N138" s="10"/>
      <c r="O138" s="10"/>
      <c r="P138" s="10"/>
      <c r="Q138" s="10"/>
      <c r="R138" s="11">
        <v>1</v>
      </c>
    </row>
    <row r="139" spans="1:18" x14ac:dyDescent="0.3">
      <c r="A139" s="7"/>
      <c r="B139" s="9" t="s">
        <v>663</v>
      </c>
      <c r="C139" s="9"/>
      <c r="D139" s="10"/>
      <c r="E139" s="10"/>
      <c r="F139" s="10"/>
      <c r="G139" s="10"/>
      <c r="H139" s="10">
        <v>3</v>
      </c>
      <c r="I139" s="10"/>
      <c r="J139" s="10"/>
      <c r="K139" s="10"/>
      <c r="L139" s="10"/>
      <c r="M139" s="10"/>
      <c r="N139" s="10"/>
      <c r="O139" s="10"/>
      <c r="P139" s="10"/>
      <c r="Q139" s="10"/>
      <c r="R139" s="11">
        <v>3</v>
      </c>
    </row>
    <row r="140" spans="1:18" x14ac:dyDescent="0.3">
      <c r="A140" s="7"/>
      <c r="B140" s="9" t="s">
        <v>664</v>
      </c>
      <c r="C140" s="9">
        <v>4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1">
        <v>4</v>
      </c>
    </row>
    <row r="141" spans="1:18" x14ac:dyDescent="0.3">
      <c r="A141" s="7"/>
      <c r="B141" s="9" t="s">
        <v>665</v>
      </c>
      <c r="C141" s="9"/>
      <c r="D141" s="10"/>
      <c r="E141" s="10"/>
      <c r="F141" s="10"/>
      <c r="G141" s="10"/>
      <c r="H141" s="10"/>
      <c r="I141" s="10"/>
      <c r="J141" s="10"/>
      <c r="K141" s="10"/>
      <c r="L141" s="10"/>
      <c r="M141" s="10">
        <v>6</v>
      </c>
      <c r="N141" s="10"/>
      <c r="O141" s="10"/>
      <c r="P141" s="10"/>
      <c r="Q141" s="10"/>
      <c r="R141" s="11">
        <v>6</v>
      </c>
    </row>
    <row r="142" spans="1:18" x14ac:dyDescent="0.3">
      <c r="A142" s="7"/>
      <c r="B142" s="9" t="s">
        <v>666</v>
      </c>
      <c r="C142" s="9"/>
      <c r="D142" s="10"/>
      <c r="E142" s="10"/>
      <c r="F142" s="10"/>
      <c r="G142" s="10"/>
      <c r="H142" s="10">
        <v>4</v>
      </c>
      <c r="I142" s="10"/>
      <c r="J142" s="10"/>
      <c r="K142" s="10"/>
      <c r="L142" s="10"/>
      <c r="M142" s="10">
        <v>7</v>
      </c>
      <c r="N142" s="10"/>
      <c r="O142" s="10"/>
      <c r="P142" s="10"/>
      <c r="Q142" s="10"/>
      <c r="R142" s="11">
        <v>11</v>
      </c>
    </row>
    <row r="143" spans="1:18" x14ac:dyDescent="0.3">
      <c r="A143" s="7"/>
      <c r="B143" s="9" t="s">
        <v>667</v>
      </c>
      <c r="C143" s="9"/>
      <c r="D143" s="10">
        <v>15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1">
        <v>15</v>
      </c>
    </row>
    <row r="144" spans="1:18" x14ac:dyDescent="0.3">
      <c r="A144" s="7"/>
      <c r="B144" s="9" t="s">
        <v>668</v>
      </c>
      <c r="C144" s="9"/>
      <c r="D144" s="10">
        <v>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1">
        <v>9</v>
      </c>
    </row>
    <row r="145" spans="1:18" x14ac:dyDescent="0.3">
      <c r="A145" s="7"/>
      <c r="B145" s="9" t="s">
        <v>669</v>
      </c>
      <c r="C145" s="9"/>
      <c r="D145" s="10">
        <v>5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1">
        <v>5</v>
      </c>
    </row>
    <row r="146" spans="1:18" x14ac:dyDescent="0.3">
      <c r="A146" s="7"/>
      <c r="B146" s="8" t="s">
        <v>670</v>
      </c>
      <c r="C146" s="9"/>
      <c r="D146" s="10">
        <v>45</v>
      </c>
      <c r="E146" s="10"/>
      <c r="F146" s="10">
        <v>57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1">
        <v>102</v>
      </c>
    </row>
    <row r="147" spans="1:18" x14ac:dyDescent="0.3">
      <c r="A147" s="7"/>
      <c r="B147" s="9" t="s">
        <v>671</v>
      </c>
      <c r="C147" s="9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>
        <v>45</v>
      </c>
      <c r="R147" s="11">
        <v>45</v>
      </c>
    </row>
    <row r="148" spans="1:18" x14ac:dyDescent="0.3">
      <c r="A148" s="7"/>
      <c r="B148" s="9" t="s">
        <v>672</v>
      </c>
      <c r="C148" s="9"/>
      <c r="D148" s="10"/>
      <c r="E148" s="10"/>
      <c r="F148" s="10"/>
      <c r="G148" s="10">
        <v>14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>
        <v>36</v>
      </c>
      <c r="R148" s="11">
        <v>50</v>
      </c>
    </row>
    <row r="149" spans="1:18" x14ac:dyDescent="0.3">
      <c r="A149" s="7"/>
      <c r="B149" s="9" t="s">
        <v>673</v>
      </c>
      <c r="C149" s="9"/>
      <c r="D149" s="10"/>
      <c r="E149" s="10"/>
      <c r="F149" s="10"/>
      <c r="G149" s="10"/>
      <c r="H149" s="10">
        <v>10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1">
        <v>10</v>
      </c>
    </row>
    <row r="150" spans="1:18" x14ac:dyDescent="0.3">
      <c r="A150" s="7"/>
      <c r="B150" s="9" t="s">
        <v>674</v>
      </c>
      <c r="C150" s="9"/>
      <c r="D150" s="10"/>
      <c r="E150" s="10"/>
      <c r="F150" s="10">
        <v>28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>
        <v>9</v>
      </c>
      <c r="R150" s="11">
        <v>37</v>
      </c>
    </row>
    <row r="151" spans="1:18" x14ac:dyDescent="0.3">
      <c r="A151" s="7"/>
      <c r="B151" s="9" t="s">
        <v>675</v>
      </c>
      <c r="C151" s="9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>
        <v>20</v>
      </c>
      <c r="R151" s="11">
        <v>20</v>
      </c>
    </row>
    <row r="152" spans="1:18" x14ac:dyDescent="0.3">
      <c r="A152" s="7"/>
      <c r="B152" s="9" t="s">
        <v>676</v>
      </c>
      <c r="C152" s="9"/>
      <c r="D152" s="10"/>
      <c r="E152" s="10"/>
      <c r="F152" s="10"/>
      <c r="G152" s="10"/>
      <c r="H152" s="10">
        <v>8</v>
      </c>
      <c r="I152" s="10"/>
      <c r="J152" s="10"/>
      <c r="K152" s="10"/>
      <c r="L152" s="10"/>
      <c r="M152" s="10"/>
      <c r="N152" s="10"/>
      <c r="O152" s="10"/>
      <c r="P152" s="10"/>
      <c r="Q152" s="10">
        <v>15</v>
      </c>
      <c r="R152" s="11">
        <v>23</v>
      </c>
    </row>
    <row r="153" spans="1:18" x14ac:dyDescent="0.3">
      <c r="A153" s="7"/>
      <c r="B153" s="9" t="s">
        <v>677</v>
      </c>
      <c r="C153" s="9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>
        <v>13</v>
      </c>
      <c r="R153" s="11">
        <v>13</v>
      </c>
    </row>
    <row r="154" spans="1:18" x14ac:dyDescent="0.3">
      <c r="A154" s="7"/>
      <c r="B154" s="18"/>
      <c r="C154" s="4">
        <v>1017.5</v>
      </c>
      <c r="D154" s="5">
        <v>95.5</v>
      </c>
      <c r="E154" s="5">
        <v>94.5</v>
      </c>
      <c r="F154" s="5">
        <v>177</v>
      </c>
      <c r="G154" s="5">
        <v>27</v>
      </c>
      <c r="H154" s="5">
        <v>1486.1</v>
      </c>
      <c r="I154" s="5">
        <v>45</v>
      </c>
      <c r="J154" s="5">
        <v>195</v>
      </c>
      <c r="K154" s="5">
        <v>65</v>
      </c>
      <c r="L154" s="5">
        <v>308.5</v>
      </c>
      <c r="M154" s="5">
        <v>120</v>
      </c>
      <c r="N154" s="5">
        <v>3</v>
      </c>
      <c r="O154" s="5">
        <v>4</v>
      </c>
      <c r="P154" s="5">
        <v>243.5</v>
      </c>
      <c r="Q154" s="5">
        <v>296</v>
      </c>
      <c r="R154" s="6">
        <v>4177.6000000000004</v>
      </c>
    </row>
    <row r="155" spans="1:18" x14ac:dyDescent="0.3">
      <c r="A155" s="7"/>
      <c r="B155" s="4" t="s">
        <v>362</v>
      </c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>
        <v>2</v>
      </c>
      <c r="P155" s="5"/>
      <c r="Q155" s="5"/>
      <c r="R155" s="6">
        <v>2</v>
      </c>
    </row>
    <row r="156" spans="1:18" x14ac:dyDescent="0.3">
      <c r="A156" s="7"/>
      <c r="B156" s="18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>
        <v>2</v>
      </c>
      <c r="P156" s="5"/>
      <c r="Q156" s="5"/>
      <c r="R156" s="6">
        <v>2</v>
      </c>
    </row>
    <row r="157" spans="1:18" x14ac:dyDescent="0.3">
      <c r="A157" s="4" t="s">
        <v>678</v>
      </c>
      <c r="B157" s="18"/>
      <c r="C157" s="4">
        <v>1017.5</v>
      </c>
      <c r="D157" s="5">
        <v>95.5</v>
      </c>
      <c r="E157" s="5">
        <v>94.5</v>
      </c>
      <c r="F157" s="5">
        <v>177</v>
      </c>
      <c r="G157" s="5">
        <v>27</v>
      </c>
      <c r="H157" s="5">
        <v>1486.1</v>
      </c>
      <c r="I157" s="5">
        <v>45</v>
      </c>
      <c r="J157" s="5">
        <v>195</v>
      </c>
      <c r="K157" s="5">
        <v>65</v>
      </c>
      <c r="L157" s="5">
        <v>308.5</v>
      </c>
      <c r="M157" s="5">
        <v>120</v>
      </c>
      <c r="N157" s="5">
        <v>3</v>
      </c>
      <c r="O157" s="5">
        <v>6</v>
      </c>
      <c r="P157" s="5">
        <v>243.5</v>
      </c>
      <c r="Q157" s="5">
        <v>296</v>
      </c>
      <c r="R157" s="6">
        <v>4179.6000000000004</v>
      </c>
    </row>
    <row r="158" spans="1:18" x14ac:dyDescent="0.3">
      <c r="A158" s="12" t="s">
        <v>18</v>
      </c>
      <c r="B158" s="13"/>
      <c r="C158" s="12">
        <v>1017.5</v>
      </c>
      <c r="D158" s="14">
        <v>95.5</v>
      </c>
      <c r="E158" s="14">
        <v>94.5</v>
      </c>
      <c r="F158" s="14">
        <v>177</v>
      </c>
      <c r="G158" s="14">
        <v>27</v>
      </c>
      <c r="H158" s="14">
        <v>1486.1</v>
      </c>
      <c r="I158" s="14">
        <v>45</v>
      </c>
      <c r="J158" s="14">
        <v>195</v>
      </c>
      <c r="K158" s="14">
        <v>65</v>
      </c>
      <c r="L158" s="14">
        <v>308.5</v>
      </c>
      <c r="M158" s="14">
        <v>120</v>
      </c>
      <c r="N158" s="14">
        <v>3</v>
      </c>
      <c r="O158" s="14">
        <v>6</v>
      </c>
      <c r="P158" s="14">
        <v>243.5</v>
      </c>
      <c r="Q158" s="14">
        <v>296</v>
      </c>
      <c r="R158" s="15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546875" defaultRowHeight="14.4" x14ac:dyDescent="0.3"/>
  <cols>
    <col min="2" max="2" width="44.6640625" customWidth="1"/>
  </cols>
  <sheetData>
    <row r="1" spans="1:19" x14ac:dyDescent="0.3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</row>
    <row r="2" spans="1:19" x14ac:dyDescent="0.3">
      <c r="A2" s="4" t="s">
        <v>679</v>
      </c>
      <c r="B2" s="4" t="s">
        <v>680</v>
      </c>
      <c r="C2" s="4"/>
      <c r="D2" s="5"/>
      <c r="E2" s="5"/>
      <c r="F2" s="5"/>
      <c r="G2" s="5"/>
      <c r="H2" s="5">
        <v>8</v>
      </c>
      <c r="I2" s="5"/>
      <c r="J2" s="5"/>
      <c r="K2" s="5"/>
      <c r="L2" s="5"/>
      <c r="M2" s="5"/>
      <c r="N2" s="5"/>
      <c r="O2" s="5"/>
      <c r="P2" s="5"/>
      <c r="Q2" s="5"/>
      <c r="R2" s="5"/>
      <c r="S2" s="6">
        <v>8</v>
      </c>
    </row>
    <row r="3" spans="1:19" x14ac:dyDescent="0.3">
      <c r="A3" s="7"/>
      <c r="B3" s="8" t="s">
        <v>681</v>
      </c>
      <c r="C3" s="9">
        <v>117</v>
      </c>
      <c r="D3" s="10">
        <v>14</v>
      </c>
      <c r="E3" s="10">
        <v>31</v>
      </c>
      <c r="F3" s="10">
        <v>26</v>
      </c>
      <c r="G3" s="10">
        <v>99.5</v>
      </c>
      <c r="H3" s="10">
        <v>186.8</v>
      </c>
      <c r="I3" s="10">
        <v>12</v>
      </c>
      <c r="J3" s="10">
        <v>12</v>
      </c>
      <c r="K3" s="10">
        <v>13</v>
      </c>
      <c r="L3" s="10">
        <v>0.5</v>
      </c>
      <c r="M3" s="10"/>
      <c r="N3" s="10">
        <v>5.5</v>
      </c>
      <c r="O3" s="10">
        <v>21</v>
      </c>
      <c r="P3" s="10"/>
      <c r="Q3" s="10"/>
      <c r="R3" s="10">
        <v>49</v>
      </c>
      <c r="S3" s="11">
        <v>587.29999999999995</v>
      </c>
    </row>
    <row r="4" spans="1:19" x14ac:dyDescent="0.3">
      <c r="A4" s="7"/>
      <c r="B4" s="9" t="s">
        <v>682</v>
      </c>
      <c r="C4" s="9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1">
        <v>1</v>
      </c>
    </row>
    <row r="5" spans="1:19" x14ac:dyDescent="0.3">
      <c r="A5" s="7"/>
      <c r="B5" s="9" t="s">
        <v>683</v>
      </c>
      <c r="C5" s="9"/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1">
        <v>1</v>
      </c>
    </row>
    <row r="6" spans="1:19" x14ac:dyDescent="0.3">
      <c r="A6" s="7"/>
      <c r="B6" s="9" t="s">
        <v>684</v>
      </c>
      <c r="C6" s="9"/>
      <c r="D6" s="10"/>
      <c r="E6" s="10"/>
      <c r="F6" s="10"/>
      <c r="G6" s="10"/>
      <c r="H6" s="10"/>
      <c r="I6" s="10">
        <v>1</v>
      </c>
      <c r="J6" s="10"/>
      <c r="K6" s="10"/>
      <c r="L6" s="10"/>
      <c r="M6" s="10"/>
      <c r="N6" s="10"/>
      <c r="O6" s="10"/>
      <c r="P6" s="10"/>
      <c r="Q6" s="10"/>
      <c r="R6" s="10"/>
      <c r="S6" s="11">
        <v>1</v>
      </c>
    </row>
    <row r="7" spans="1:19" x14ac:dyDescent="0.3">
      <c r="A7" s="7"/>
      <c r="B7" s="9" t="s">
        <v>685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>
        <v>1</v>
      </c>
      <c r="S7" s="11">
        <v>1</v>
      </c>
    </row>
    <row r="8" spans="1:19" x14ac:dyDescent="0.3">
      <c r="A8" s="7"/>
      <c r="B8" s="9" t="s">
        <v>686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>
        <v>1</v>
      </c>
      <c r="O8" s="10"/>
      <c r="P8" s="10"/>
      <c r="Q8" s="10"/>
      <c r="R8" s="10"/>
      <c r="S8" s="11">
        <v>1</v>
      </c>
    </row>
    <row r="9" spans="1:19" x14ac:dyDescent="0.3">
      <c r="A9" s="7"/>
      <c r="B9" s="9" t="s">
        <v>687</v>
      </c>
      <c r="C9" s="9"/>
      <c r="D9" s="10"/>
      <c r="E9" s="10"/>
      <c r="F9" s="10"/>
      <c r="G9" s="10"/>
      <c r="H9" s="10">
        <v>13</v>
      </c>
      <c r="I9" s="10"/>
      <c r="J9" s="10"/>
      <c r="K9" s="10"/>
      <c r="L9" s="10"/>
      <c r="M9" s="10"/>
      <c r="N9" s="10"/>
      <c r="O9" s="10"/>
      <c r="P9" s="10">
        <v>31.7</v>
      </c>
      <c r="Q9" s="10"/>
      <c r="R9" s="10">
        <v>9</v>
      </c>
      <c r="S9" s="11">
        <v>53.7</v>
      </c>
    </row>
    <row r="10" spans="1:19" x14ac:dyDescent="0.3">
      <c r="A10" s="7"/>
      <c r="B10" s="9" t="s">
        <v>688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>
        <v>1</v>
      </c>
      <c r="Q10" s="10"/>
      <c r="R10" s="10"/>
      <c r="S10" s="11">
        <v>1</v>
      </c>
    </row>
    <row r="11" spans="1:19" x14ac:dyDescent="0.3">
      <c r="A11" s="7"/>
      <c r="B11" s="8" t="s">
        <v>689</v>
      </c>
      <c r="C11" s="9"/>
      <c r="D11" s="10"/>
      <c r="E11" s="10"/>
      <c r="F11" s="10"/>
      <c r="G11" s="10">
        <v>18</v>
      </c>
      <c r="H11" s="10"/>
      <c r="I11" s="10"/>
      <c r="J11" s="10"/>
      <c r="K11" s="10"/>
      <c r="L11" s="10"/>
      <c r="M11" s="10">
        <v>2</v>
      </c>
      <c r="N11" s="10"/>
      <c r="O11" s="10"/>
      <c r="P11" s="10"/>
      <c r="Q11" s="10"/>
      <c r="R11" s="10"/>
      <c r="S11" s="11">
        <v>20</v>
      </c>
    </row>
    <row r="12" spans="1:19" x14ac:dyDescent="0.3">
      <c r="A12" s="7"/>
      <c r="B12" s="9" t="s">
        <v>690</v>
      </c>
      <c r="C12" s="9">
        <v>5</v>
      </c>
      <c r="D12" s="10"/>
      <c r="E12" s="10"/>
      <c r="F12" s="10"/>
      <c r="G12" s="10"/>
      <c r="H12" s="10">
        <v>5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1">
        <v>10</v>
      </c>
    </row>
    <row r="13" spans="1:19" x14ac:dyDescent="0.3">
      <c r="A13" s="7"/>
      <c r="B13" s="9" t="s">
        <v>691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>
        <v>2</v>
      </c>
      <c r="S13" s="11">
        <v>2</v>
      </c>
    </row>
    <row r="14" spans="1:19" x14ac:dyDescent="0.3">
      <c r="A14" s="7"/>
      <c r="B14" s="9" t="s">
        <v>692</v>
      </c>
      <c r="C14" s="9"/>
      <c r="D14" s="10"/>
      <c r="E14" s="10"/>
      <c r="F14" s="10"/>
      <c r="G14" s="10">
        <v>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1">
        <v>4</v>
      </c>
    </row>
    <row r="15" spans="1:19" x14ac:dyDescent="0.3">
      <c r="A15" s="7"/>
      <c r="B15" s="9" t="s">
        <v>693</v>
      </c>
      <c r="C15" s="9">
        <v>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>
        <v>2</v>
      </c>
    </row>
    <row r="16" spans="1:19" x14ac:dyDescent="0.3">
      <c r="A16" s="7"/>
      <c r="B16" s="9" t="s">
        <v>694</v>
      </c>
      <c r="C16" s="9"/>
      <c r="D16" s="10"/>
      <c r="E16" s="10"/>
      <c r="F16" s="10"/>
      <c r="G16" s="10"/>
      <c r="H16" s="10">
        <v>2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1">
        <v>2</v>
      </c>
    </row>
    <row r="17" spans="1:19" x14ac:dyDescent="0.3">
      <c r="A17" s="7"/>
      <c r="B17" s="8" t="s">
        <v>695</v>
      </c>
      <c r="C17" s="9"/>
      <c r="D17" s="10"/>
      <c r="E17" s="10"/>
      <c r="F17" s="10">
        <v>6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>
        <v>6</v>
      </c>
    </row>
    <row r="18" spans="1:19" x14ac:dyDescent="0.3">
      <c r="A18" s="7"/>
      <c r="B18" s="9" t="s">
        <v>696</v>
      </c>
      <c r="C18" s="9">
        <v>26</v>
      </c>
      <c r="D18" s="10"/>
      <c r="E18" s="10"/>
      <c r="F18" s="10"/>
      <c r="G18" s="10"/>
      <c r="H18" s="10">
        <v>49</v>
      </c>
      <c r="I18" s="10">
        <v>2</v>
      </c>
      <c r="J18" s="10"/>
      <c r="K18" s="10">
        <v>2</v>
      </c>
      <c r="L18" s="10">
        <v>1</v>
      </c>
      <c r="M18" s="10">
        <v>5</v>
      </c>
      <c r="N18" s="10"/>
      <c r="O18" s="10"/>
      <c r="P18" s="10">
        <v>4</v>
      </c>
      <c r="Q18" s="10"/>
      <c r="R18" s="10">
        <v>6</v>
      </c>
      <c r="S18" s="11">
        <v>95</v>
      </c>
    </row>
    <row r="19" spans="1:19" x14ac:dyDescent="0.3">
      <c r="A19" s="7"/>
      <c r="B19" s="9" t="s">
        <v>697</v>
      </c>
      <c r="C19" s="9">
        <v>6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1">
        <v>6</v>
      </c>
    </row>
    <row r="20" spans="1:19" x14ac:dyDescent="0.3">
      <c r="A20" s="7"/>
      <c r="B20" s="9" t="s">
        <v>698</v>
      </c>
      <c r="C20" s="9">
        <v>5</v>
      </c>
      <c r="D20" s="10"/>
      <c r="E20" s="10"/>
      <c r="F20" s="10"/>
      <c r="G20" s="10"/>
      <c r="H20" s="10"/>
      <c r="I20" s="10"/>
      <c r="J20" s="10"/>
      <c r="K20" s="10"/>
      <c r="L20" s="10">
        <v>1</v>
      </c>
      <c r="M20" s="10"/>
      <c r="N20" s="10"/>
      <c r="O20" s="10"/>
      <c r="P20" s="10"/>
      <c r="Q20" s="10"/>
      <c r="R20" s="10"/>
      <c r="S20" s="11">
        <v>6</v>
      </c>
    </row>
    <row r="21" spans="1:19" x14ac:dyDescent="0.3">
      <c r="A21" s="7"/>
      <c r="B21" s="9" t="s">
        <v>699</v>
      </c>
      <c r="C21" s="9">
        <v>4</v>
      </c>
      <c r="D21" s="10">
        <v>2</v>
      </c>
      <c r="E21" s="10"/>
      <c r="F21" s="10">
        <v>4</v>
      </c>
      <c r="G21" s="10"/>
      <c r="H21" s="10">
        <v>7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1">
        <v>17</v>
      </c>
    </row>
    <row r="22" spans="1:19" x14ac:dyDescent="0.3">
      <c r="A22" s="7"/>
      <c r="B22" s="9" t="s">
        <v>700</v>
      </c>
      <c r="C22" s="9">
        <v>12</v>
      </c>
      <c r="D22" s="10"/>
      <c r="E22" s="10"/>
      <c r="F22" s="10"/>
      <c r="G22" s="10"/>
      <c r="H22" s="10">
        <v>37.5</v>
      </c>
      <c r="I22" s="10">
        <v>1</v>
      </c>
      <c r="J22" s="10"/>
      <c r="K22" s="10">
        <v>2</v>
      </c>
      <c r="L22" s="10">
        <v>2</v>
      </c>
      <c r="M22" s="10"/>
      <c r="N22" s="10"/>
      <c r="O22" s="10"/>
      <c r="P22" s="10"/>
      <c r="Q22" s="10"/>
      <c r="R22" s="10"/>
      <c r="S22" s="11">
        <v>54.5</v>
      </c>
    </row>
    <row r="23" spans="1:19" x14ac:dyDescent="0.3">
      <c r="A23" s="7"/>
      <c r="B23" s="9" t="s">
        <v>701</v>
      </c>
      <c r="C23" s="9"/>
      <c r="D23" s="10"/>
      <c r="E23" s="10">
        <v>4</v>
      </c>
      <c r="F23" s="10"/>
      <c r="G23" s="10"/>
      <c r="H23" s="10"/>
      <c r="I23" s="10"/>
      <c r="J23" s="10"/>
      <c r="K23" s="10"/>
      <c r="L23" s="10"/>
      <c r="M23" s="10"/>
      <c r="N23" s="10">
        <v>5</v>
      </c>
      <c r="O23" s="10"/>
      <c r="P23" s="10"/>
      <c r="Q23" s="10"/>
      <c r="R23" s="10"/>
      <c r="S23" s="11">
        <v>9</v>
      </c>
    </row>
    <row r="24" spans="1:19" x14ac:dyDescent="0.3">
      <c r="A24" s="7"/>
      <c r="B24" s="9" t="s">
        <v>702</v>
      </c>
      <c r="C24" s="9"/>
      <c r="D24" s="10">
        <v>4</v>
      </c>
      <c r="E24" s="10"/>
      <c r="F24" s="10"/>
      <c r="G24" s="10">
        <v>88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>
        <v>92</v>
      </c>
    </row>
    <row r="25" spans="1:19" x14ac:dyDescent="0.3">
      <c r="A25" s="7"/>
      <c r="B25" s="9" t="s">
        <v>703</v>
      </c>
      <c r="C25" s="9">
        <v>11</v>
      </c>
      <c r="D25" s="10"/>
      <c r="E25" s="10"/>
      <c r="F25" s="10">
        <v>4</v>
      </c>
      <c r="G25" s="10"/>
      <c r="H25" s="10">
        <v>4</v>
      </c>
      <c r="I25" s="10"/>
      <c r="J25" s="10"/>
      <c r="K25" s="10">
        <v>3</v>
      </c>
      <c r="L25" s="10"/>
      <c r="M25" s="10">
        <v>1</v>
      </c>
      <c r="N25" s="10"/>
      <c r="O25" s="10"/>
      <c r="P25" s="10"/>
      <c r="Q25" s="10"/>
      <c r="R25" s="10">
        <v>19</v>
      </c>
      <c r="S25" s="11">
        <v>42</v>
      </c>
    </row>
    <row r="26" spans="1:19" x14ac:dyDescent="0.3">
      <c r="A26" s="7"/>
      <c r="B26" s="8" t="s">
        <v>704</v>
      </c>
      <c r="C26" s="9"/>
      <c r="D26" s="10">
        <v>3</v>
      </c>
      <c r="E26" s="10"/>
      <c r="F26" s="10"/>
      <c r="G26" s="10"/>
      <c r="H26" s="10"/>
      <c r="I26" s="10"/>
      <c r="J26" s="10"/>
      <c r="K26" s="10"/>
      <c r="L26" s="10"/>
      <c r="M26" s="10">
        <v>1</v>
      </c>
      <c r="N26" s="10"/>
      <c r="O26" s="10"/>
      <c r="P26" s="10"/>
      <c r="Q26" s="10"/>
      <c r="R26" s="10"/>
      <c r="S26" s="11">
        <v>4</v>
      </c>
    </row>
    <row r="27" spans="1:19" x14ac:dyDescent="0.3">
      <c r="A27" s="7"/>
      <c r="B27" s="9" t="s">
        <v>705</v>
      </c>
      <c r="C27" s="9">
        <v>2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>
        <v>6.8</v>
      </c>
      <c r="R27" s="10">
        <v>1</v>
      </c>
      <c r="S27" s="11">
        <v>9.8000000000000007</v>
      </c>
    </row>
    <row r="28" spans="1:19" x14ac:dyDescent="0.3">
      <c r="A28" s="7"/>
      <c r="B28" s="9" t="s">
        <v>706</v>
      </c>
      <c r="C28" s="9">
        <v>12.5</v>
      </c>
      <c r="D28" s="10"/>
      <c r="E28" s="10"/>
      <c r="F28" s="10">
        <v>8</v>
      </c>
      <c r="G28" s="10"/>
      <c r="H28" s="10">
        <v>5.75</v>
      </c>
      <c r="I28" s="10">
        <v>1</v>
      </c>
      <c r="J28" s="10"/>
      <c r="K28" s="10"/>
      <c r="L28" s="10"/>
      <c r="M28" s="10"/>
      <c r="N28" s="10"/>
      <c r="O28" s="10"/>
      <c r="P28" s="10"/>
      <c r="Q28" s="10"/>
      <c r="R28" s="10"/>
      <c r="S28" s="11">
        <v>27.25</v>
      </c>
    </row>
    <row r="29" spans="1:19" x14ac:dyDescent="0.3">
      <c r="A29" s="7"/>
      <c r="B29" s="9" t="s">
        <v>707</v>
      </c>
      <c r="C29" s="9">
        <v>3</v>
      </c>
      <c r="D29" s="10"/>
      <c r="E29" s="10"/>
      <c r="F29" s="10">
        <v>6</v>
      </c>
      <c r="G29" s="10">
        <v>20.5</v>
      </c>
      <c r="H29" s="10">
        <v>2</v>
      </c>
      <c r="I29" s="10"/>
      <c r="J29" s="10"/>
      <c r="K29" s="10"/>
      <c r="L29" s="10"/>
      <c r="M29" s="10"/>
      <c r="N29" s="10">
        <v>3</v>
      </c>
      <c r="O29" s="10"/>
      <c r="P29" s="10"/>
      <c r="Q29" s="10"/>
      <c r="R29" s="10"/>
      <c r="S29" s="11">
        <v>34.5</v>
      </c>
    </row>
    <row r="30" spans="1:19" x14ac:dyDescent="0.3">
      <c r="A30" s="7"/>
      <c r="B30" s="9" t="s">
        <v>708</v>
      </c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>
        <v>0.5</v>
      </c>
      <c r="P30" s="10"/>
      <c r="Q30" s="10"/>
      <c r="R30" s="10"/>
      <c r="S30" s="11">
        <v>0.5</v>
      </c>
    </row>
    <row r="31" spans="1:19" x14ac:dyDescent="0.3">
      <c r="A31" s="12" t="s">
        <v>18</v>
      </c>
      <c r="B31" s="13"/>
      <c r="C31" s="12">
        <v>205.5</v>
      </c>
      <c r="D31" s="14">
        <v>24</v>
      </c>
      <c r="E31" s="14">
        <v>35</v>
      </c>
      <c r="F31" s="14">
        <v>54</v>
      </c>
      <c r="G31" s="14">
        <v>230</v>
      </c>
      <c r="H31" s="14">
        <v>321.05</v>
      </c>
      <c r="I31" s="14">
        <v>17</v>
      </c>
      <c r="J31" s="14">
        <v>12</v>
      </c>
      <c r="K31" s="14">
        <v>20</v>
      </c>
      <c r="L31" s="14">
        <v>4.5</v>
      </c>
      <c r="M31" s="14">
        <v>9</v>
      </c>
      <c r="N31" s="14">
        <v>14.5</v>
      </c>
      <c r="O31" s="14">
        <v>21.5</v>
      </c>
      <c r="P31" s="14">
        <v>36.700000000000003</v>
      </c>
      <c r="Q31" s="14">
        <v>6.8</v>
      </c>
      <c r="R31" s="14">
        <v>87</v>
      </c>
      <c r="S31" s="15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8671875" defaultRowHeight="15" outlineLevelRow="1" outlineLevelCol="1" x14ac:dyDescent="0.35"/>
  <cols>
    <col min="1" max="1" width="8.88671875" style="19"/>
    <col min="2" max="2" width="38.44140625" style="19" customWidth="1"/>
    <col min="3" max="3" width="39.21875" style="19" customWidth="1"/>
    <col min="4" max="4" width="15.33203125" style="19" customWidth="1"/>
    <col min="5" max="6" width="8.6640625" style="19" customWidth="1"/>
    <col min="7" max="8" width="2.44140625" style="19" customWidth="1"/>
    <col min="9" max="10" width="8.88671875" style="19"/>
    <col min="11" max="11" width="13.6640625" style="19" hidden="1" customWidth="1" outlineLevel="1"/>
    <col min="12" max="12" width="8.88671875" style="19" collapsed="1"/>
    <col min="13" max="1024" width="8.88671875" style="19"/>
  </cols>
  <sheetData>
    <row r="1" spans="1:11" s="20" customFormat="1" ht="15" customHeight="1" x14ac:dyDescent="0.35">
      <c r="A1" s="3" t="s">
        <v>709</v>
      </c>
      <c r="B1" s="3"/>
      <c r="C1" s="3"/>
      <c r="D1" s="3"/>
      <c r="E1" s="3"/>
      <c r="F1" s="3"/>
    </row>
    <row r="2" spans="1:11" s="20" customFormat="1" ht="31.95" customHeight="1" x14ac:dyDescent="0.35">
      <c r="A2" s="3" t="s">
        <v>710</v>
      </c>
      <c r="B2" s="3"/>
      <c r="C2" s="3"/>
      <c r="D2" s="3"/>
      <c r="E2" s="3"/>
      <c r="F2" s="3"/>
    </row>
    <row r="3" spans="1:11" s="20" customFormat="1" ht="31.95" customHeight="1" x14ac:dyDescent="0.35">
      <c r="A3" s="3" t="s">
        <v>711</v>
      </c>
      <c r="B3" s="3"/>
      <c r="C3" s="3"/>
      <c r="D3" s="3"/>
      <c r="E3" s="3"/>
      <c r="F3" s="3"/>
    </row>
    <row r="4" spans="1:11" s="20" customFormat="1" ht="15" customHeight="1" x14ac:dyDescent="0.35">
      <c r="A4" s="3" t="s">
        <v>712</v>
      </c>
      <c r="B4" s="3"/>
      <c r="C4" s="3"/>
      <c r="D4" s="3"/>
      <c r="E4" s="3"/>
      <c r="F4" s="3"/>
    </row>
    <row r="5" spans="1:11" s="20" customFormat="1" ht="15" customHeight="1" x14ac:dyDescent="0.35">
      <c r="A5" s="3" t="s">
        <v>713</v>
      </c>
      <c r="B5" s="3"/>
      <c r="C5" s="3"/>
      <c r="D5" s="3"/>
      <c r="E5" s="3"/>
      <c r="F5" s="3"/>
    </row>
    <row r="6" spans="1:11" s="20" customFormat="1" ht="44.4" customHeight="1" x14ac:dyDescent="0.35">
      <c r="A6" s="3" t="s">
        <v>714</v>
      </c>
      <c r="B6" s="3"/>
      <c r="C6" s="3"/>
      <c r="D6" s="3"/>
      <c r="E6" s="3"/>
      <c r="F6" s="3"/>
    </row>
    <row r="7" spans="1:11" s="20" customFormat="1" ht="29.4" customHeight="1" x14ac:dyDescent="0.35">
      <c r="A7" s="3" t="s">
        <v>715</v>
      </c>
      <c r="B7" s="3"/>
      <c r="C7" s="3"/>
      <c r="D7" s="3"/>
      <c r="E7" s="3"/>
      <c r="F7" s="3"/>
    </row>
    <row r="8" spans="1:11" s="20" customFormat="1" ht="15" customHeight="1" x14ac:dyDescent="0.35">
      <c r="A8" s="3" t="s">
        <v>716</v>
      </c>
      <c r="B8" s="3"/>
      <c r="C8" s="3"/>
      <c r="D8" s="3"/>
      <c r="E8" s="3"/>
      <c r="F8" s="3"/>
    </row>
    <row r="11" spans="1:11" hidden="1" outlineLevel="1" x14ac:dyDescent="0.35">
      <c r="A11" s="21"/>
      <c r="B11" s="22" t="s">
        <v>717</v>
      </c>
      <c r="C11" s="23" t="s">
        <v>718</v>
      </c>
      <c r="D11" s="23" t="s">
        <v>719</v>
      </c>
      <c r="K11" s="24">
        <v>0.86</v>
      </c>
    </row>
    <row r="12" spans="1:11" hidden="1" outlineLevel="1" x14ac:dyDescent="0.35">
      <c r="A12" s="21"/>
      <c r="B12" s="22" t="s">
        <v>720</v>
      </c>
      <c r="C12" s="25">
        <f>IFERROR(ROUND(_xlfn.STDEV.S($E:$E),0),"-")</f>
        <v>830</v>
      </c>
      <c r="D12" s="25">
        <f>IFERROR(ROUND(_xlfn.STDEV.S($F:$F),0),"-")</f>
        <v>966</v>
      </c>
      <c r="K12" s="24" t="s">
        <v>721</v>
      </c>
    </row>
    <row r="13" spans="1:11" hidden="1" outlineLevel="1" x14ac:dyDescent="0.35">
      <c r="A13" s="21"/>
      <c r="B13" s="22" t="s">
        <v>722</v>
      </c>
      <c r="C13" s="25">
        <f>IFERROR(ROUND(AVERAGE($E:$E),0),"-")</f>
        <v>2030</v>
      </c>
      <c r="D13" s="25">
        <f>IFERROR(ROUND(AVERAGE($F:$F),0),"-")</f>
        <v>2360</v>
      </c>
      <c r="K13" s="24" t="s">
        <v>723</v>
      </c>
    </row>
    <row r="14" spans="1:11" hidden="1" outlineLevel="1" x14ac:dyDescent="0.35">
      <c r="A14" s="21"/>
      <c r="B14" s="22" t="s">
        <v>724</v>
      </c>
      <c r="C14" s="25">
        <f>IFERROR(ROUND(_xlfn.PERCENTILE.INC($E:$E,0.1),0),"-")</f>
        <v>1000</v>
      </c>
      <c r="D14" s="25">
        <f>IFERROR(ROUND(_xlfn.PERCENTILE.INC($F:$F,0.1),0),"-")</f>
        <v>1163</v>
      </c>
    </row>
    <row r="15" spans="1:11" hidden="1" outlineLevel="1" x14ac:dyDescent="0.35">
      <c r="A15" s="21"/>
      <c r="B15" s="22" t="s">
        <v>725</v>
      </c>
      <c r="C15" s="25">
        <f>IFERROR(ROUND(_xlfn.QUARTILE.INC($E:$E,1),0),"-")</f>
        <v>1293</v>
      </c>
      <c r="D15" s="25">
        <f>IFERROR(ROUND(_xlfn.QUARTILE.INC($F:$F,1),0),"-")</f>
        <v>1504</v>
      </c>
    </row>
    <row r="16" spans="1:11" hidden="1" outlineLevel="1" x14ac:dyDescent="0.35">
      <c r="A16" s="21"/>
      <c r="B16" s="22" t="s">
        <v>726</v>
      </c>
      <c r="C16" s="25">
        <f>IFERROR(ROUND(MEDIAN($E:$E),0),"-")</f>
        <v>2000</v>
      </c>
      <c r="D16" s="25">
        <f>IFERROR(ROUND(MEDIAN($F:$F),0),"-")</f>
        <v>2326</v>
      </c>
    </row>
    <row r="17" spans="1:6" hidden="1" outlineLevel="1" x14ac:dyDescent="0.35">
      <c r="A17" s="21"/>
      <c r="B17" s="22" t="s">
        <v>727</v>
      </c>
      <c r="C17" s="25">
        <f>IFERROR(ROUND(_xlfn.QUARTILE.INC($E:$E,3),0),"-")</f>
        <v>2580</v>
      </c>
      <c r="D17" s="25">
        <f>IFERROR(ROUND(_xlfn.QUARTILE.INC($F:$F,3),0),"-")</f>
        <v>3000</v>
      </c>
    </row>
    <row r="18" spans="1:6" hidden="1" outlineLevel="1" x14ac:dyDescent="0.35">
      <c r="A18" s="21"/>
      <c r="B18" s="22" t="s">
        <v>728</v>
      </c>
      <c r="C18" s="25">
        <f>IFERROR(ROUND(_xlfn.PERCENTILE.INC($E:$E,0.9),0),"-")</f>
        <v>3030</v>
      </c>
      <c r="D18" s="25">
        <f>IFERROR(ROUND(_xlfn.PERCENTILE.INC($F:$F,0.9),0),"-")</f>
        <v>3523</v>
      </c>
    </row>
    <row r="19" spans="1:6" hidden="1" outlineLevel="1" x14ac:dyDescent="0.35">
      <c r="A19" s="26"/>
      <c r="B19" s="26"/>
      <c r="C19" s="26"/>
      <c r="D19" s="26"/>
      <c r="E19" s="26"/>
      <c r="F19" s="26"/>
    </row>
    <row r="20" spans="1:6" hidden="1" outlineLevel="1" x14ac:dyDescent="0.35">
      <c r="A20" s="27"/>
      <c r="B20" s="28"/>
      <c r="C20" s="29"/>
      <c r="D20" s="29"/>
      <c r="E20" s="26"/>
      <c r="F20" s="26"/>
    </row>
    <row r="21" spans="1:6" s="31" customFormat="1" ht="31.95" customHeight="1" collapsed="1" x14ac:dyDescent="0.3">
      <c r="A21" s="30" t="s">
        <v>0</v>
      </c>
      <c r="B21" s="30" t="s">
        <v>729</v>
      </c>
      <c r="C21" s="30" t="s">
        <v>730</v>
      </c>
      <c r="D21" s="30" t="s">
        <v>731</v>
      </c>
      <c r="E21" s="30" t="s">
        <v>732</v>
      </c>
      <c r="F21" s="30" t="s">
        <v>733</v>
      </c>
    </row>
    <row r="22" spans="1:6" s="31" customFormat="1" x14ac:dyDescent="0.3">
      <c r="A22" s="32"/>
      <c r="B22" s="32"/>
      <c r="C22" s="33" t="s">
        <v>473</v>
      </c>
      <c r="D22" s="32"/>
      <c r="E22" s="32"/>
      <c r="F22" s="34"/>
    </row>
    <row r="23" spans="1:6" outlineLevel="1" x14ac:dyDescent="0.35">
      <c r="A23" s="35">
        <v>18</v>
      </c>
      <c r="B23" s="47" t="str">
        <f>HYPERLINK("https://rabota.by/vacancy/54784303","ООО Карго ДиСи")</f>
        <v>ООО Карго ДиСи</v>
      </c>
      <c r="C23" s="36" t="s">
        <v>804</v>
      </c>
      <c r="D23" s="36" t="s">
        <v>723</v>
      </c>
      <c r="E23" s="36">
        <v>4000</v>
      </c>
      <c r="F23" s="37">
        <f t="shared" ref="F23:F54" si="0">IF(ROUND(E23/$K$11,2)&gt;0,ROUND(E23/$K$11,2),"")</f>
        <v>4651.16</v>
      </c>
    </row>
    <row r="24" spans="1:6" outlineLevel="1" x14ac:dyDescent="0.35">
      <c r="A24" s="35">
        <v>18</v>
      </c>
      <c r="B24" s="47" t="str">
        <f>HYPERLINK("https://rabota.by/vacancy/54676812","COOO Лекфарм")</f>
        <v>COOO Лекфарм</v>
      </c>
      <c r="C24" s="36" t="s">
        <v>804</v>
      </c>
      <c r="D24" s="36" t="s">
        <v>723</v>
      </c>
      <c r="E24" s="36">
        <v>3000</v>
      </c>
      <c r="F24" s="37">
        <f t="shared" si="0"/>
        <v>3488.37</v>
      </c>
    </row>
    <row r="25" spans="1:6" outlineLevel="1" x14ac:dyDescent="0.35">
      <c r="A25" s="35">
        <v>18</v>
      </c>
      <c r="B25" s="47" t="str">
        <f>HYPERLINK("https://rabota.by/vacancy/54277558","Косвик, Иностранное предприятие")</f>
        <v>Косвик, Иностранное предприятие</v>
      </c>
      <c r="C25" s="36" t="s">
        <v>804</v>
      </c>
      <c r="D25" s="36" t="s">
        <v>723</v>
      </c>
      <c r="E25" s="36">
        <v>2580</v>
      </c>
      <c r="F25" s="37">
        <f t="shared" si="0"/>
        <v>3000</v>
      </c>
    </row>
    <row r="26" spans="1:6" outlineLevel="1" x14ac:dyDescent="0.35">
      <c r="A26" s="35">
        <v>18</v>
      </c>
      <c r="B26" s="47" t="str">
        <f>HYPERLINK("https://rabota.by/vacancy/53896283","ОАО Галантэя")</f>
        <v>ОАО Галантэя</v>
      </c>
      <c r="C26" s="36" t="s">
        <v>804</v>
      </c>
      <c r="D26" s="36" t="s">
        <v>723</v>
      </c>
      <c r="E26" s="36">
        <v>2107</v>
      </c>
      <c r="F26" s="37">
        <f t="shared" si="0"/>
        <v>2450</v>
      </c>
    </row>
    <row r="27" spans="1:6" outlineLevel="1" x14ac:dyDescent="0.35">
      <c r="A27" s="35">
        <v>18</v>
      </c>
      <c r="B27" s="47" t="str">
        <f>HYPERLINK("https://rabota.by/vacancy/53926416","ЗАО Белспецэнерго")</f>
        <v>ЗАО Белспецэнерго</v>
      </c>
      <c r="C27" s="36" t="s">
        <v>804</v>
      </c>
      <c r="D27" s="36" t="s">
        <v>723</v>
      </c>
      <c r="E27" s="36">
        <v>2021</v>
      </c>
      <c r="F27" s="37">
        <f t="shared" si="0"/>
        <v>2350</v>
      </c>
    </row>
    <row r="28" spans="1:6" outlineLevel="1" x14ac:dyDescent="0.35">
      <c r="A28" s="35">
        <v>18</v>
      </c>
      <c r="B28" s="47" t="str">
        <f>HYPERLINK("https://rabota.by/vacancy/54764526","ООО ТрансКомБел Экспедиция")</f>
        <v>ООО ТрансКомБел Экспедиция</v>
      </c>
      <c r="C28" s="36" t="s">
        <v>804</v>
      </c>
      <c r="D28" s="36" t="s">
        <v>723</v>
      </c>
      <c r="E28" s="36">
        <v>2184.4</v>
      </c>
      <c r="F28" s="37">
        <f t="shared" si="0"/>
        <v>2540</v>
      </c>
    </row>
    <row r="29" spans="1:6" outlineLevel="1" x14ac:dyDescent="0.35">
      <c r="A29" s="35">
        <v>18</v>
      </c>
      <c r="B29" s="47" t="str">
        <f>HYPERLINK("https://rabota.by/vacancy/54564322","Белбогемия, ИООО")</f>
        <v>Белбогемия, ИООО</v>
      </c>
      <c r="C29" s="36" t="s">
        <v>804</v>
      </c>
      <c r="D29" s="36" t="s">
        <v>723</v>
      </c>
      <c r="E29" s="36">
        <v>1500</v>
      </c>
      <c r="F29" s="37">
        <f t="shared" si="0"/>
        <v>1744.19</v>
      </c>
    </row>
    <row r="30" spans="1:6" outlineLevel="1" x14ac:dyDescent="0.35">
      <c r="A30" s="35">
        <v>18</v>
      </c>
      <c r="B30" s="47" t="str">
        <f>HYPERLINK("https://rabota.by/vacancy/54618003","ООО МеталПрофиль")</f>
        <v>ООО МеталПрофиль</v>
      </c>
      <c r="C30" s="36" t="s">
        <v>804</v>
      </c>
      <c r="D30" s="36" t="s">
        <v>723</v>
      </c>
      <c r="E30" s="36">
        <v>1800</v>
      </c>
      <c r="F30" s="37">
        <f t="shared" si="0"/>
        <v>2093.02</v>
      </c>
    </row>
    <row r="31" spans="1:6" outlineLevel="1" x14ac:dyDescent="0.35">
      <c r="A31" s="35">
        <v>18</v>
      </c>
      <c r="B31" s="47" t="str">
        <f>HYPERLINK("https://rabota.by/vacancy/54781574","ООО Проект-М")</f>
        <v>ООО Проект-М</v>
      </c>
      <c r="C31" s="36" t="s">
        <v>804</v>
      </c>
      <c r="D31" s="36" t="s">
        <v>723</v>
      </c>
      <c r="E31" s="36">
        <v>2400</v>
      </c>
      <c r="F31" s="37">
        <f t="shared" si="0"/>
        <v>2790.7</v>
      </c>
    </row>
    <row r="32" spans="1:6" outlineLevel="1" x14ac:dyDescent="0.35">
      <c r="A32" s="35">
        <v>18</v>
      </c>
      <c r="B32" s="47" t="str">
        <f>HYPERLINK("https://rabota.by/vacancy/54680194","НПО Центр")</f>
        <v>НПО Центр</v>
      </c>
      <c r="C32" s="36" t="s">
        <v>804</v>
      </c>
      <c r="D32" s="36" t="s">
        <v>723</v>
      </c>
      <c r="E32" s="36">
        <v>1650</v>
      </c>
      <c r="F32" s="37">
        <f t="shared" si="0"/>
        <v>1918.6</v>
      </c>
    </row>
    <row r="33" spans="1:6" outlineLevel="1" x14ac:dyDescent="0.35">
      <c r="A33" s="35">
        <v>18</v>
      </c>
      <c r="B33" s="47" t="str">
        <f>HYPERLINK("https://rabota.by/vacancy/54319278","ОАО Минский завод игристых вин")</f>
        <v>ОАО Минский завод игристых вин</v>
      </c>
      <c r="C33" s="36" t="s">
        <v>804</v>
      </c>
      <c r="D33" s="36" t="s">
        <v>723</v>
      </c>
      <c r="E33" s="36">
        <v>2451</v>
      </c>
      <c r="F33" s="37">
        <f t="shared" si="0"/>
        <v>2850</v>
      </c>
    </row>
    <row r="34" spans="1:6" outlineLevel="1" x14ac:dyDescent="0.35">
      <c r="A34" s="35">
        <v>18</v>
      </c>
      <c r="B34" s="47" t="str">
        <f>HYPERLINK("https://rabota.by/vacancy/54120457","ОАО Западэлектросетьстрой")</f>
        <v>ОАО Западэлектросетьстрой</v>
      </c>
      <c r="C34" s="36" t="s">
        <v>804</v>
      </c>
      <c r="D34" s="36" t="s">
        <v>723</v>
      </c>
      <c r="E34" s="36">
        <v>1600</v>
      </c>
      <c r="F34" s="37">
        <f t="shared" si="0"/>
        <v>1860.47</v>
      </c>
    </row>
    <row r="35" spans="1:6" outlineLevel="1" x14ac:dyDescent="0.35">
      <c r="A35" s="35">
        <v>18</v>
      </c>
      <c r="B35" s="47" t="str">
        <f>HYPERLINK("https://rabota.by/vacancy/54412397","ООО САЙКС")</f>
        <v>ООО САЙКС</v>
      </c>
      <c r="C35" s="36" t="s">
        <v>804</v>
      </c>
      <c r="D35" s="36" t="s">
        <v>723</v>
      </c>
      <c r="E35" s="36">
        <v>1500</v>
      </c>
      <c r="F35" s="37">
        <f t="shared" si="0"/>
        <v>1744.19</v>
      </c>
    </row>
    <row r="36" spans="1:6" outlineLevel="1" x14ac:dyDescent="0.35">
      <c r="A36" s="35">
        <v>18</v>
      </c>
      <c r="B36" s="47" t="str">
        <f>HYPERLINK("https://rabota.by/vacancy/54325953","Международный университет МИТСО")</f>
        <v>Международный университет МИТСО</v>
      </c>
      <c r="C36" s="36" t="s">
        <v>804</v>
      </c>
      <c r="D36" s="36" t="s">
        <v>723</v>
      </c>
      <c r="E36" s="36">
        <v>950</v>
      </c>
      <c r="F36" s="37">
        <f t="shared" si="0"/>
        <v>1104.6500000000001</v>
      </c>
    </row>
    <row r="37" spans="1:6" outlineLevel="1" x14ac:dyDescent="0.35">
      <c r="A37" s="35">
        <v>18</v>
      </c>
      <c r="B37" s="47" t="str">
        <f>HYPERLINK("https://rabota.by/vacancy/54524782","ООО Ю-Телеком")</f>
        <v>ООО Ю-Телеком</v>
      </c>
      <c r="C37" s="36" t="s">
        <v>804</v>
      </c>
      <c r="D37" s="36" t="s">
        <v>723</v>
      </c>
      <c r="E37" s="36">
        <v>1000</v>
      </c>
      <c r="F37" s="37">
        <f t="shared" si="0"/>
        <v>1162.79</v>
      </c>
    </row>
    <row r="38" spans="1:6" outlineLevel="1" x14ac:dyDescent="0.35">
      <c r="A38" s="35">
        <v>18</v>
      </c>
      <c r="B38" s="47" t="str">
        <f>HYPERLINK("https://rabota.by/vacancy/54458346","ЕВРООПТ")</f>
        <v>ЕВРООПТ</v>
      </c>
      <c r="C38" s="36" t="s">
        <v>804</v>
      </c>
      <c r="D38" s="36" t="s">
        <v>723</v>
      </c>
      <c r="E38" s="36">
        <v>2500</v>
      </c>
      <c r="F38" s="37">
        <f t="shared" si="0"/>
        <v>2906.98</v>
      </c>
    </row>
    <row r="39" spans="1:6" outlineLevel="1" x14ac:dyDescent="0.35">
      <c r="A39" s="35">
        <v>18</v>
      </c>
      <c r="B39" s="47" t="str">
        <f>HYPERLINK("https://hh.ru/vacancy/51692204","Компания «СПОРТМАСТЕР», Розничные продажи")</f>
        <v>Компания «СПОРТМАСТЕР», Розничные продажи</v>
      </c>
      <c r="C39" s="36" t="s">
        <v>804</v>
      </c>
      <c r="D39" s="36" t="s">
        <v>723</v>
      </c>
      <c r="E39" s="36">
        <v>1454.9480000000001</v>
      </c>
      <c r="F39" s="37">
        <f t="shared" si="0"/>
        <v>1691.8</v>
      </c>
    </row>
    <row r="40" spans="1:6" outlineLevel="1" x14ac:dyDescent="0.35">
      <c r="A40" s="35">
        <v>18</v>
      </c>
      <c r="B40" s="47" t="str">
        <f>HYPERLINK("https://rabota.by/vacancy/54431702","Фенокс, международная ассоциация компаний")</f>
        <v>Фенокс, международная ассоциация компаний</v>
      </c>
      <c r="C40" s="36" t="s">
        <v>804</v>
      </c>
      <c r="D40" s="36" t="s">
        <v>723</v>
      </c>
      <c r="E40" s="36">
        <v>1720</v>
      </c>
      <c r="F40" s="37">
        <f t="shared" si="0"/>
        <v>2000</v>
      </c>
    </row>
    <row r="41" spans="1:6" outlineLevel="1" x14ac:dyDescent="0.35">
      <c r="A41" s="35">
        <v>18</v>
      </c>
      <c r="B41" s="47" t="str">
        <f>HYPERLINK("https://rabota.by/vacancy/53626266","ООО Пан-Терра Групп")</f>
        <v>ООО Пан-Терра Групп</v>
      </c>
      <c r="C41" s="36" t="s">
        <v>804</v>
      </c>
      <c r="D41" s="36" t="s">
        <v>723</v>
      </c>
      <c r="E41" s="36">
        <v>1050</v>
      </c>
      <c r="F41" s="37">
        <f t="shared" si="0"/>
        <v>1220.93</v>
      </c>
    </row>
    <row r="42" spans="1:6" outlineLevel="1" x14ac:dyDescent="0.35">
      <c r="A42" s="35">
        <v>18</v>
      </c>
      <c r="B42" s="47" t="str">
        <f>HYPERLINK("https://rabota.by/vacancy/54039953","ООО Удобные перевозки")</f>
        <v>ООО Удобные перевозки</v>
      </c>
      <c r="C42" s="36" t="s">
        <v>804</v>
      </c>
      <c r="D42" s="36" t="s">
        <v>723</v>
      </c>
      <c r="E42" s="36">
        <v>2100</v>
      </c>
      <c r="F42" s="37">
        <f t="shared" si="0"/>
        <v>2441.86</v>
      </c>
    </row>
    <row r="43" spans="1:6" outlineLevel="1" x14ac:dyDescent="0.35">
      <c r="A43" s="35">
        <v>18</v>
      </c>
      <c r="B43" s="47" t="str">
        <f>HYPERLINK("https://rabota.by/vacancy/53922656","Belgruz")</f>
        <v>Belgruz</v>
      </c>
      <c r="C43" s="36" t="s">
        <v>804</v>
      </c>
      <c r="D43" s="36" t="s">
        <v>723</v>
      </c>
      <c r="E43" s="36">
        <v>2580</v>
      </c>
      <c r="F43" s="37">
        <f t="shared" si="0"/>
        <v>3000</v>
      </c>
    </row>
    <row r="44" spans="1:6" outlineLevel="1" x14ac:dyDescent="0.35">
      <c r="A44" s="35">
        <v>18</v>
      </c>
      <c r="B44" s="47" t="str">
        <f>HYPERLINK("https://rabota.by/vacancy/54694279","ООО АйТи Снаб")</f>
        <v>ООО АйТи Снаб</v>
      </c>
      <c r="C44" s="36" t="s">
        <v>804</v>
      </c>
      <c r="D44" s="36" t="s">
        <v>723</v>
      </c>
      <c r="E44" s="36">
        <v>1500</v>
      </c>
      <c r="F44" s="37">
        <f t="shared" si="0"/>
        <v>1744.19</v>
      </c>
    </row>
    <row r="45" spans="1:6" outlineLevel="1" x14ac:dyDescent="0.35">
      <c r="A45" s="35">
        <v>18</v>
      </c>
      <c r="B45" s="47" t="str">
        <f>HYPERLINK("https://rabota.by/vacancy/54671391","Коммунальное унитарное предприятие ЖКХ Партизанского района г. Минска")</f>
        <v>Коммунальное унитарное предприятие ЖКХ Партизанского района г. Минска</v>
      </c>
      <c r="C45" s="36" t="s">
        <v>804</v>
      </c>
      <c r="D45" s="36" t="s">
        <v>723</v>
      </c>
      <c r="E45" s="36">
        <v>1100</v>
      </c>
      <c r="F45" s="37">
        <f t="shared" si="0"/>
        <v>1279.07</v>
      </c>
    </row>
    <row r="46" spans="1:6" outlineLevel="1" x14ac:dyDescent="0.35">
      <c r="A46" s="35">
        <v>18</v>
      </c>
      <c r="B46" s="47" t="str">
        <f>HYPERLINK("https://rabota.by/vacancy/54487589","ООО Транспортная Компания КИТ -БелРос")</f>
        <v>ООО Транспортная Компания КИТ -БелРос</v>
      </c>
      <c r="C46" s="36" t="s">
        <v>804</v>
      </c>
      <c r="D46" s="36" t="s">
        <v>723</v>
      </c>
      <c r="E46" s="36">
        <v>1324.4</v>
      </c>
      <c r="F46" s="37">
        <f t="shared" si="0"/>
        <v>1540</v>
      </c>
    </row>
    <row r="47" spans="1:6" outlineLevel="1" x14ac:dyDescent="0.35">
      <c r="A47" s="35">
        <v>18</v>
      </c>
      <c r="B47" s="47" t="str">
        <f>HYPERLINK("https://rabota.by/vacancy/54264540","ООО АйронСимЛог")</f>
        <v>ООО АйронСимЛог</v>
      </c>
      <c r="C47" s="36" t="s">
        <v>804</v>
      </c>
      <c r="D47" s="36" t="s">
        <v>723</v>
      </c>
      <c r="E47" s="36">
        <v>2000</v>
      </c>
      <c r="F47" s="37">
        <f t="shared" si="0"/>
        <v>2325.58</v>
      </c>
    </row>
    <row r="48" spans="1:6" outlineLevel="1" x14ac:dyDescent="0.35">
      <c r="A48" s="35">
        <v>18</v>
      </c>
      <c r="B48" s="47" t="str">
        <f>HYPERLINK("https://rabota.by/vacancy/53982376","Управление сельского хозяйства и продовольствия Узденского райисполкома")</f>
        <v>Управление сельского хозяйства и продовольствия Узденского райисполкома</v>
      </c>
      <c r="C48" s="36" t="s">
        <v>804</v>
      </c>
      <c r="D48" s="36" t="s">
        <v>723</v>
      </c>
      <c r="E48" s="36">
        <v>860</v>
      </c>
      <c r="F48" s="37">
        <f t="shared" si="0"/>
        <v>1000</v>
      </c>
    </row>
    <row r="49" spans="1:6" outlineLevel="1" x14ac:dyDescent="0.35">
      <c r="A49" s="35">
        <v>18</v>
      </c>
      <c r="B49" s="47" t="str">
        <f>HYPERLINK("https://rabota.by/resume/026a44f20001f523b50039ed1f41326b5a725a","начальник отдела")</f>
        <v>начальник отдела</v>
      </c>
      <c r="C49" s="36" t="s">
        <v>804</v>
      </c>
      <c r="D49" s="36" t="s">
        <v>721</v>
      </c>
      <c r="E49" s="36">
        <v>3800</v>
      </c>
      <c r="F49" s="37">
        <f t="shared" si="0"/>
        <v>4418.6000000000004</v>
      </c>
    </row>
    <row r="50" spans="1:6" outlineLevel="1" x14ac:dyDescent="0.35">
      <c r="A50" s="35">
        <v>18</v>
      </c>
      <c r="B50" s="47" t="str">
        <f>HYPERLINK("https://rabota.by/resume/3d26f15e0007419da90039ed1f676835545439","начальник отдела")</f>
        <v>начальник отдела</v>
      </c>
      <c r="C50" s="36" t="s">
        <v>804</v>
      </c>
      <c r="D50" s="36" t="s">
        <v>721</v>
      </c>
      <c r="E50" s="36">
        <v>3500</v>
      </c>
      <c r="F50" s="37">
        <f t="shared" si="0"/>
        <v>4069.77</v>
      </c>
    </row>
    <row r="51" spans="1:6" outlineLevel="1" x14ac:dyDescent="0.35">
      <c r="A51" s="35">
        <v>18</v>
      </c>
      <c r="B51" s="47" t="str">
        <f>HYPERLINK("https://rabota.by/resume/a516a30900053114ba0039ed1f44467568626a","начальник отдела")</f>
        <v>начальник отдела</v>
      </c>
      <c r="C51" s="36" t="s">
        <v>804</v>
      </c>
      <c r="D51" s="36" t="s">
        <v>721</v>
      </c>
      <c r="E51" s="36">
        <v>3500</v>
      </c>
      <c r="F51" s="37">
        <f t="shared" si="0"/>
        <v>4069.77</v>
      </c>
    </row>
    <row r="52" spans="1:6" outlineLevel="1" x14ac:dyDescent="0.35">
      <c r="A52" s="35">
        <v>18</v>
      </c>
      <c r="B52" s="47" t="str">
        <f>HYPERLINK("https://rabota.by/resume/be813b660005f4bcc30039ed1f5079666b7337","начальник отдела")</f>
        <v>начальник отдела</v>
      </c>
      <c r="C52" s="36" t="s">
        <v>804</v>
      </c>
      <c r="D52" s="36" t="s">
        <v>721</v>
      </c>
      <c r="E52" s="36">
        <v>3500</v>
      </c>
      <c r="F52" s="37">
        <f t="shared" si="0"/>
        <v>4069.77</v>
      </c>
    </row>
    <row r="53" spans="1:6" outlineLevel="1" x14ac:dyDescent="0.35">
      <c r="A53" s="35">
        <v>18</v>
      </c>
      <c r="B53" s="47" t="str">
        <f>HYPERLINK("https://rabota.by/resume/1c3366b10001b1ff230039ed1f384872697575","начальник отдела")</f>
        <v>начальник отдела</v>
      </c>
      <c r="C53" s="36" t="s">
        <v>804</v>
      </c>
      <c r="D53" s="36" t="s">
        <v>721</v>
      </c>
      <c r="E53" s="36">
        <v>3300</v>
      </c>
      <c r="F53" s="37">
        <f t="shared" si="0"/>
        <v>3837.21</v>
      </c>
    </row>
    <row r="54" spans="1:6" outlineLevel="1" x14ac:dyDescent="0.35">
      <c r="A54" s="35">
        <v>18</v>
      </c>
      <c r="B54" s="47" t="str">
        <f>HYPERLINK("https://rabota.by/resume/a5f723ea000108df3b0039ed1f586538624d65","начальник отдела")</f>
        <v>начальник отдела</v>
      </c>
      <c r="C54" s="36" t="s">
        <v>804</v>
      </c>
      <c r="D54" s="36" t="s">
        <v>721</v>
      </c>
      <c r="E54" s="36">
        <v>3000</v>
      </c>
      <c r="F54" s="37">
        <f t="shared" si="0"/>
        <v>3488.37</v>
      </c>
    </row>
    <row r="55" spans="1:6" outlineLevel="1" x14ac:dyDescent="0.35">
      <c r="A55" s="35">
        <v>18</v>
      </c>
      <c r="B55" s="47" t="str">
        <f>HYPERLINK("https://rabota.by/resume/4ac659ef0005660d610039ed1f4c4535696a69","начальник отдела")</f>
        <v>начальник отдела</v>
      </c>
      <c r="C55" s="36" t="s">
        <v>804</v>
      </c>
      <c r="D55" s="36" t="s">
        <v>721</v>
      </c>
      <c r="E55" s="36">
        <v>3000</v>
      </c>
      <c r="F55" s="37">
        <f t="shared" ref="F55:F86" si="1">IF(ROUND(E55/$K$11,2)&gt;0,ROUND(E55/$K$11,2),"")</f>
        <v>3488.37</v>
      </c>
    </row>
    <row r="56" spans="1:6" outlineLevel="1" x14ac:dyDescent="0.35">
      <c r="A56" s="35">
        <v>18</v>
      </c>
      <c r="B56" s="47" t="str">
        <f>HYPERLINK("https://rabota.by/resume/65f74ba800024259220039ed1f344464345661","начальник отдела")</f>
        <v>начальник отдела</v>
      </c>
      <c r="C56" s="36" t="s">
        <v>804</v>
      </c>
      <c r="D56" s="36" t="s">
        <v>721</v>
      </c>
      <c r="E56" s="36">
        <v>3000</v>
      </c>
      <c r="F56" s="37">
        <f t="shared" si="1"/>
        <v>3488.37</v>
      </c>
    </row>
    <row r="57" spans="1:6" outlineLevel="1" x14ac:dyDescent="0.35">
      <c r="A57" s="35">
        <v>18</v>
      </c>
      <c r="B57" s="47" t="str">
        <f>HYPERLINK("https://rabota.by/resume/f1fb38c50002b897bb0039ed1f535658346f51","начальник отдела")</f>
        <v>начальник отдела</v>
      </c>
      <c r="C57" s="36" t="s">
        <v>804</v>
      </c>
      <c r="D57" s="36" t="s">
        <v>721</v>
      </c>
      <c r="E57" s="36">
        <v>3000</v>
      </c>
      <c r="F57" s="37">
        <f t="shared" si="1"/>
        <v>3488.37</v>
      </c>
    </row>
    <row r="58" spans="1:6" outlineLevel="1" x14ac:dyDescent="0.35">
      <c r="A58" s="35">
        <v>18</v>
      </c>
      <c r="B58" s="47" t="str">
        <f>HYPERLINK("https://rabota.by/resume/0d126e5d00040e712a0039ed1f746c6b474330","начальник отдела")</f>
        <v>начальник отдела</v>
      </c>
      <c r="C58" s="36" t="s">
        <v>804</v>
      </c>
      <c r="D58" s="36" t="s">
        <v>721</v>
      </c>
      <c r="E58" s="36">
        <v>3000</v>
      </c>
      <c r="F58" s="37">
        <f t="shared" si="1"/>
        <v>3488.37</v>
      </c>
    </row>
    <row r="59" spans="1:6" outlineLevel="1" x14ac:dyDescent="0.35">
      <c r="A59" s="35">
        <v>18</v>
      </c>
      <c r="B59" s="47" t="str">
        <f>HYPERLINK("https://rabota.by/resume/41ccef99000297cbdb0039ed1f63366e6e4835","начальник отдела")</f>
        <v>начальник отдела</v>
      </c>
      <c r="C59" s="36" t="s">
        <v>804</v>
      </c>
      <c r="D59" s="36" t="s">
        <v>721</v>
      </c>
      <c r="E59" s="36">
        <v>3000</v>
      </c>
      <c r="F59" s="37">
        <f t="shared" si="1"/>
        <v>3488.37</v>
      </c>
    </row>
    <row r="60" spans="1:6" outlineLevel="1" x14ac:dyDescent="0.35">
      <c r="A60" s="35">
        <v>18</v>
      </c>
      <c r="B60" s="47" t="str">
        <f>HYPERLINK("https://rabota.by/resume/1a4312f500011875440039ed1f47446737425a","начальник отдела")</f>
        <v>начальник отдела</v>
      </c>
      <c r="C60" s="36" t="s">
        <v>804</v>
      </c>
      <c r="D60" s="36" t="s">
        <v>721</v>
      </c>
      <c r="E60" s="36">
        <v>2900</v>
      </c>
      <c r="F60" s="37">
        <f t="shared" si="1"/>
        <v>3372.09</v>
      </c>
    </row>
    <row r="61" spans="1:6" outlineLevel="1" x14ac:dyDescent="0.35">
      <c r="A61" s="35">
        <v>18</v>
      </c>
      <c r="B61" s="47" t="str">
        <f>HYPERLINK("https://rabota.by/resume/6c62600100034102ed0039ed1f334f4a6e625a","начальник отдела")</f>
        <v>начальник отдела</v>
      </c>
      <c r="C61" s="36" t="s">
        <v>804</v>
      </c>
      <c r="D61" s="36" t="s">
        <v>721</v>
      </c>
      <c r="E61" s="36">
        <v>2000</v>
      </c>
      <c r="F61" s="37">
        <f t="shared" si="1"/>
        <v>2325.58</v>
      </c>
    </row>
    <row r="62" spans="1:6" outlineLevel="1" x14ac:dyDescent="0.35">
      <c r="A62" s="35">
        <v>18</v>
      </c>
      <c r="B62" s="47" t="str">
        <f>HYPERLINK("https://rabota.by/resume/76c69a0000037cf9920039ed1f7136316c3038","начальник отдела")</f>
        <v>начальник отдела</v>
      </c>
      <c r="C62" s="36" t="s">
        <v>804</v>
      </c>
      <c r="D62" s="36" t="s">
        <v>721</v>
      </c>
      <c r="E62" s="36">
        <v>2000</v>
      </c>
      <c r="F62" s="37">
        <f t="shared" si="1"/>
        <v>2325.58</v>
      </c>
    </row>
    <row r="63" spans="1:6" outlineLevel="1" x14ac:dyDescent="0.35">
      <c r="A63" s="35">
        <v>18</v>
      </c>
      <c r="B63" s="47" t="str">
        <f>HYPERLINK("https://rabota.by/resume/c280bc24000591e87a0039ed1f4530786d4e61","начальник отдела")</f>
        <v>начальник отдела</v>
      </c>
      <c r="C63" s="36" t="s">
        <v>804</v>
      </c>
      <c r="D63" s="36" t="s">
        <v>721</v>
      </c>
      <c r="E63" s="36">
        <v>2000</v>
      </c>
      <c r="F63" s="37">
        <f t="shared" si="1"/>
        <v>2325.58</v>
      </c>
    </row>
    <row r="64" spans="1:6" outlineLevel="1" x14ac:dyDescent="0.35">
      <c r="A64" s="35">
        <v>18</v>
      </c>
      <c r="B64" s="47" t="str">
        <f>HYPERLINK("https://rabota.by/resume/e6d649870002ac904b0039ed1f6c71364c7835","начальник отдела")</f>
        <v>начальник отдела</v>
      </c>
      <c r="C64" s="36" t="s">
        <v>804</v>
      </c>
      <c r="D64" s="36" t="s">
        <v>721</v>
      </c>
      <c r="E64" s="36">
        <v>2000</v>
      </c>
      <c r="F64" s="37">
        <f t="shared" si="1"/>
        <v>2325.58</v>
      </c>
    </row>
    <row r="65" spans="1:6" outlineLevel="1" x14ac:dyDescent="0.35">
      <c r="A65" s="35">
        <v>18</v>
      </c>
      <c r="B65" s="47" t="str">
        <f>HYPERLINK("https://rabota.by/resume/ca96465d0001c0db630039ed1f657a6f7a3042","начальник отдела")</f>
        <v>начальник отдела</v>
      </c>
      <c r="C65" s="36" t="s">
        <v>804</v>
      </c>
      <c r="D65" s="36" t="s">
        <v>721</v>
      </c>
      <c r="E65" s="36">
        <v>2000</v>
      </c>
      <c r="F65" s="37">
        <f t="shared" si="1"/>
        <v>2325.58</v>
      </c>
    </row>
    <row r="66" spans="1:6" outlineLevel="1" x14ac:dyDescent="0.35">
      <c r="A66" s="35">
        <v>18</v>
      </c>
      <c r="B66" s="47" t="str">
        <f>HYPERLINK("https://rabota.by/resume/142248ea0000d81aa80039ed1f416838727743","начальник отдела")</f>
        <v>начальник отдела</v>
      </c>
      <c r="C66" s="36" t="s">
        <v>804</v>
      </c>
      <c r="D66" s="36" t="s">
        <v>721</v>
      </c>
      <c r="E66" s="36">
        <v>2000</v>
      </c>
      <c r="F66" s="37">
        <f t="shared" si="1"/>
        <v>2325.58</v>
      </c>
    </row>
    <row r="67" spans="1:6" outlineLevel="1" x14ac:dyDescent="0.35">
      <c r="A67" s="35">
        <v>18</v>
      </c>
      <c r="B67" s="47" t="str">
        <f>HYPERLINK("https://rabota.by/resume/dc924001000430717e0039ed1f533532656331","начальник отдела")</f>
        <v>начальник отдела</v>
      </c>
      <c r="C67" s="36" t="s">
        <v>804</v>
      </c>
      <c r="D67" s="36" t="s">
        <v>721</v>
      </c>
      <c r="E67" s="36">
        <v>2000</v>
      </c>
      <c r="F67" s="37">
        <f t="shared" si="1"/>
        <v>2325.58</v>
      </c>
    </row>
    <row r="68" spans="1:6" outlineLevel="1" x14ac:dyDescent="0.35">
      <c r="A68" s="35">
        <v>18</v>
      </c>
      <c r="B68" s="47" t="str">
        <f>HYPERLINK("https://rabota.by/resume/4adec52400011e7af30039ed1f796253656575","начальник отдела")</f>
        <v>начальник отдела</v>
      </c>
      <c r="C68" s="36" t="s">
        <v>804</v>
      </c>
      <c r="D68" s="36" t="s">
        <v>721</v>
      </c>
      <c r="E68" s="36">
        <v>2000</v>
      </c>
      <c r="F68" s="37">
        <f t="shared" si="1"/>
        <v>2325.58</v>
      </c>
    </row>
    <row r="69" spans="1:6" outlineLevel="1" x14ac:dyDescent="0.35">
      <c r="A69" s="35">
        <v>18</v>
      </c>
      <c r="B69" s="47" t="str">
        <f>HYPERLINK("https://rabota.by/resume/78d7bd810005e472d00039ed1f72626d707067","начальник отдела")</f>
        <v>начальник отдела</v>
      </c>
      <c r="C69" s="36" t="s">
        <v>804</v>
      </c>
      <c r="D69" s="36" t="s">
        <v>721</v>
      </c>
      <c r="E69" s="36">
        <v>2000</v>
      </c>
      <c r="F69" s="37">
        <f t="shared" si="1"/>
        <v>2325.58</v>
      </c>
    </row>
    <row r="70" spans="1:6" outlineLevel="1" x14ac:dyDescent="0.35">
      <c r="A70" s="35">
        <v>18</v>
      </c>
      <c r="B70" s="47" t="str">
        <f>HYPERLINK("https://rabota.by/resume/4d6a4cc9000244376e0039ed1f48536a577669","начальник отдела")</f>
        <v>начальник отдела</v>
      </c>
      <c r="C70" s="36" t="s">
        <v>804</v>
      </c>
      <c r="D70" s="36" t="s">
        <v>721</v>
      </c>
      <c r="E70" s="36">
        <v>2000</v>
      </c>
      <c r="F70" s="37">
        <f t="shared" si="1"/>
        <v>2325.58</v>
      </c>
    </row>
    <row r="71" spans="1:6" outlineLevel="1" x14ac:dyDescent="0.35">
      <c r="A71" s="35">
        <v>18</v>
      </c>
      <c r="B71" s="47" t="str">
        <f>HYPERLINK("https://rabota.by/resume/173990180003f14f380039ed1f4d6a756d744d","начальник отдела")</f>
        <v>начальник отдела</v>
      </c>
      <c r="C71" s="36" t="s">
        <v>804</v>
      </c>
      <c r="D71" s="36" t="s">
        <v>721</v>
      </c>
      <c r="E71" s="36">
        <v>1900</v>
      </c>
      <c r="F71" s="37">
        <f t="shared" si="1"/>
        <v>2209.3000000000002</v>
      </c>
    </row>
    <row r="72" spans="1:6" outlineLevel="1" x14ac:dyDescent="0.35">
      <c r="A72" s="35">
        <v>18</v>
      </c>
      <c r="B72" s="47" t="str">
        <f>HYPERLINK("https://rabota.by/resume/cc3755430003d85c840039ed1f324d61564467","начальник отдела")</f>
        <v>начальник отдела</v>
      </c>
      <c r="C72" s="36" t="s">
        <v>804</v>
      </c>
      <c r="D72" s="36" t="s">
        <v>721</v>
      </c>
      <c r="E72" s="36">
        <v>1800</v>
      </c>
      <c r="F72" s="37">
        <f t="shared" si="1"/>
        <v>2093.02</v>
      </c>
    </row>
    <row r="73" spans="1:6" outlineLevel="1" x14ac:dyDescent="0.35">
      <c r="A73" s="35">
        <v>18</v>
      </c>
      <c r="B73" s="47" t="str">
        <f>HYPERLINK("https://rabota.by/resume/1de650b600039dc65d0039ed1f583761784775","начальник отдела")</f>
        <v>начальник отдела</v>
      </c>
      <c r="C73" s="36" t="s">
        <v>804</v>
      </c>
      <c r="D73" s="36" t="s">
        <v>721</v>
      </c>
      <c r="E73" s="36">
        <v>1200</v>
      </c>
      <c r="F73" s="37">
        <f t="shared" si="1"/>
        <v>1395.35</v>
      </c>
    </row>
    <row r="74" spans="1:6" outlineLevel="1" x14ac:dyDescent="0.35">
      <c r="A74" s="35">
        <v>18</v>
      </c>
      <c r="B74" s="47" t="str">
        <f>HYPERLINK("https://rabota.by/resume/a407502b00014cb5960039ed1f516669424e77","начальник отдела")</f>
        <v>начальник отдела</v>
      </c>
      <c r="C74" s="36" t="s">
        <v>804</v>
      </c>
      <c r="D74" s="36" t="s">
        <v>721</v>
      </c>
      <c r="E74" s="36">
        <v>1200</v>
      </c>
      <c r="F74" s="37">
        <f t="shared" si="1"/>
        <v>1395.35</v>
      </c>
    </row>
    <row r="75" spans="1:6" outlineLevel="1" x14ac:dyDescent="0.35">
      <c r="A75" s="35">
        <v>18</v>
      </c>
      <c r="B75" s="47" t="str">
        <f>HYPERLINK("https://rabota.by/resume/01723b0700026a1f660039ed1f53384564724b","начальник отдела")</f>
        <v>начальник отдела</v>
      </c>
      <c r="C75" s="36" t="s">
        <v>804</v>
      </c>
      <c r="D75" s="36" t="s">
        <v>721</v>
      </c>
      <c r="E75" s="36">
        <v>1200</v>
      </c>
      <c r="F75" s="37">
        <f t="shared" si="1"/>
        <v>1395.35</v>
      </c>
    </row>
    <row r="76" spans="1:6" outlineLevel="1" x14ac:dyDescent="0.35">
      <c r="A76" s="35">
        <v>18</v>
      </c>
      <c r="B76" s="47" t="str">
        <f>HYPERLINK("https://rabota.by/resume/6ccfe9bc0004018e630039ed1f4f515a786f38","начальник отдела")</f>
        <v>начальник отдела</v>
      </c>
      <c r="C76" s="36" t="s">
        <v>804</v>
      </c>
      <c r="D76" s="36" t="s">
        <v>721</v>
      </c>
      <c r="E76" s="36">
        <v>1100</v>
      </c>
      <c r="F76" s="37">
        <f t="shared" si="1"/>
        <v>1279.07</v>
      </c>
    </row>
    <row r="77" spans="1:6" outlineLevel="1" x14ac:dyDescent="0.35">
      <c r="A77" s="35">
        <v>18</v>
      </c>
      <c r="B77" s="47" t="str">
        <f>HYPERLINK("https://rabota.by/resume/6df714d30008430b190039ed1f314a64426179","начальник отдела")</f>
        <v>начальник отдела</v>
      </c>
      <c r="C77" s="36" t="s">
        <v>804</v>
      </c>
      <c r="D77" s="36" t="s">
        <v>721</v>
      </c>
      <c r="E77" s="36">
        <v>1000</v>
      </c>
      <c r="F77" s="37">
        <f t="shared" si="1"/>
        <v>1162.79</v>
      </c>
    </row>
    <row r="78" spans="1:6" outlineLevel="1" x14ac:dyDescent="0.35">
      <c r="A78" s="35">
        <v>18</v>
      </c>
      <c r="B78" s="47" t="str">
        <f>HYPERLINK("https://rabota.by/resume/eb9434e7000209291a0039ed1f735636507a72","начальник отдела")</f>
        <v>начальник отдела</v>
      </c>
      <c r="C78" s="36" t="s">
        <v>804</v>
      </c>
      <c r="D78" s="36" t="s">
        <v>721</v>
      </c>
      <c r="E78" s="36">
        <v>1000</v>
      </c>
      <c r="F78" s="37">
        <f t="shared" si="1"/>
        <v>1162.79</v>
      </c>
    </row>
    <row r="79" spans="1:6" outlineLevel="1" x14ac:dyDescent="0.35">
      <c r="A79" s="35">
        <v>18</v>
      </c>
      <c r="B79" s="47" t="str">
        <f>HYPERLINK("https://rabota.by/resume/97ba0fa20000e663730039ed1f576536793556","начальник отдела")</f>
        <v>начальник отдела</v>
      </c>
      <c r="C79" s="36" t="s">
        <v>804</v>
      </c>
      <c r="D79" s="36" t="s">
        <v>721</v>
      </c>
      <c r="E79" s="36">
        <v>1000</v>
      </c>
      <c r="F79" s="37">
        <f t="shared" si="1"/>
        <v>1162.79</v>
      </c>
    </row>
    <row r="80" spans="1:6" outlineLevel="1" x14ac:dyDescent="0.35">
      <c r="A80" s="35">
        <v>18</v>
      </c>
      <c r="B80" s="47" t="str">
        <f>HYPERLINK("https://rabota.by/resume/193911d40001729f470039ed1f42394c456975","начальник отдела")</f>
        <v>начальник отдела</v>
      </c>
      <c r="C80" s="36" t="s">
        <v>804</v>
      </c>
      <c r="D80" s="36" t="s">
        <v>721</v>
      </c>
      <c r="E80" s="36">
        <v>1000</v>
      </c>
      <c r="F80" s="37">
        <f t="shared" si="1"/>
        <v>1162.79</v>
      </c>
    </row>
    <row r="81" spans="1:6" outlineLevel="1" x14ac:dyDescent="0.35">
      <c r="A81" s="35">
        <v>18</v>
      </c>
      <c r="B81" s="47" t="str">
        <f>HYPERLINK("https://rabota.by/resume/5a642d6800058130900039ed1f444c42303345","начальник отдела")</f>
        <v>начальник отдела</v>
      </c>
      <c r="C81" s="36" t="s">
        <v>804</v>
      </c>
      <c r="D81" s="36" t="s">
        <v>721</v>
      </c>
      <c r="E81" s="36">
        <v>1000</v>
      </c>
      <c r="F81" s="37">
        <f t="shared" si="1"/>
        <v>1162.79</v>
      </c>
    </row>
    <row r="82" spans="1:6" outlineLevel="1" x14ac:dyDescent="0.35">
      <c r="A82" s="35">
        <v>18</v>
      </c>
      <c r="B82" s="47" t="str">
        <f>HYPERLINK("https://rabota.by/resume/28a524240000ba297d0039ed1f736563726574","начальник отдела")</f>
        <v>начальник отдела</v>
      </c>
      <c r="C82" s="36" t="s">
        <v>804</v>
      </c>
      <c r="D82" s="36" t="s">
        <v>721</v>
      </c>
      <c r="E82" s="36">
        <v>950</v>
      </c>
      <c r="F82" s="37">
        <f t="shared" si="1"/>
        <v>1104.6500000000001</v>
      </c>
    </row>
    <row r="83" spans="1:6" x14ac:dyDescent="0.35">
      <c r="A83" s="38"/>
      <c r="B83" s="38"/>
      <c r="C83" s="39" t="s">
        <v>362</v>
      </c>
      <c r="D83" s="38"/>
      <c r="E83" s="38"/>
      <c r="F83" s="37"/>
    </row>
    <row r="84" spans="1:6" outlineLevel="1" x14ac:dyDescent="0.35">
      <c r="A84" s="35">
        <v>18</v>
      </c>
      <c r="B84" s="36"/>
      <c r="C84" s="36"/>
      <c r="D84" s="36"/>
      <c r="E84" s="36"/>
      <c r="F84" s="37" t="str">
        <f t="shared" ref="F84:F115" si="2">IF(ROUND(E84/$K$11,2)&gt;0,ROUND(E84/$K$11,2),"")</f>
        <v/>
      </c>
    </row>
    <row r="85" spans="1:6" outlineLevel="1" x14ac:dyDescent="0.35">
      <c r="A85" s="35">
        <v>18</v>
      </c>
      <c r="B85" s="36"/>
      <c r="C85" s="36"/>
      <c r="D85" s="36"/>
      <c r="E85" s="36"/>
      <c r="F85" s="37" t="str">
        <f t="shared" si="2"/>
        <v/>
      </c>
    </row>
    <row r="86" spans="1:6" outlineLevel="1" x14ac:dyDescent="0.35">
      <c r="A86" s="35">
        <v>18</v>
      </c>
      <c r="B86" s="36"/>
      <c r="C86" s="36"/>
      <c r="D86" s="36"/>
      <c r="E86" s="36"/>
      <c r="F86" s="37" t="str">
        <f t="shared" si="2"/>
        <v/>
      </c>
    </row>
    <row r="87" spans="1:6" outlineLevel="1" x14ac:dyDescent="0.35">
      <c r="A87" s="35">
        <v>18</v>
      </c>
      <c r="B87" s="36"/>
      <c r="C87" s="36"/>
      <c r="D87" s="36"/>
      <c r="E87" s="36"/>
      <c r="F87" s="37" t="str">
        <f t="shared" si="2"/>
        <v/>
      </c>
    </row>
    <row r="88" spans="1:6" outlineLevel="1" x14ac:dyDescent="0.35">
      <c r="A88" s="35">
        <v>18</v>
      </c>
      <c r="B88" s="36"/>
      <c r="C88" s="36"/>
      <c r="D88" s="36"/>
      <c r="E88" s="36"/>
      <c r="F88" s="37" t="str">
        <f t="shared" si="2"/>
        <v/>
      </c>
    </row>
    <row r="89" spans="1:6" outlineLevel="1" x14ac:dyDescent="0.35">
      <c r="A89" s="35">
        <v>18</v>
      </c>
      <c r="B89" s="36"/>
      <c r="C89" s="36"/>
      <c r="D89" s="36"/>
      <c r="E89" s="36"/>
      <c r="F89" s="37" t="str">
        <f t="shared" si="2"/>
        <v/>
      </c>
    </row>
    <row r="90" spans="1:6" outlineLevel="1" x14ac:dyDescent="0.35">
      <c r="A90" s="35">
        <v>18</v>
      </c>
      <c r="B90" s="36"/>
      <c r="C90" s="36"/>
      <c r="D90" s="36"/>
      <c r="E90" s="36"/>
      <c r="F90" s="37" t="str">
        <f t="shared" si="2"/>
        <v/>
      </c>
    </row>
    <row r="91" spans="1:6" outlineLevel="1" x14ac:dyDescent="0.35">
      <c r="A91" s="35">
        <v>18</v>
      </c>
      <c r="B91" s="36"/>
      <c r="C91" s="36"/>
      <c r="D91" s="36"/>
      <c r="E91" s="36"/>
      <c r="F91" s="37" t="str">
        <f t="shared" si="2"/>
        <v/>
      </c>
    </row>
    <row r="92" spans="1:6" outlineLevel="1" x14ac:dyDescent="0.35">
      <c r="A92" s="35">
        <v>18</v>
      </c>
      <c r="B92" s="36"/>
      <c r="C92" s="36"/>
      <c r="D92" s="36"/>
      <c r="E92" s="36"/>
      <c r="F92" s="37" t="str">
        <f t="shared" si="2"/>
        <v/>
      </c>
    </row>
    <row r="93" spans="1:6" outlineLevel="1" x14ac:dyDescent="0.35">
      <c r="A93" s="35">
        <v>18</v>
      </c>
      <c r="B93" s="36"/>
      <c r="C93" s="36"/>
      <c r="D93" s="36"/>
      <c r="E93" s="36"/>
      <c r="F93" s="37" t="str">
        <f t="shared" si="2"/>
        <v/>
      </c>
    </row>
    <row r="94" spans="1:6" outlineLevel="1" x14ac:dyDescent="0.35">
      <c r="A94" s="35">
        <v>18</v>
      </c>
      <c r="B94" s="36"/>
      <c r="C94" s="36"/>
      <c r="D94" s="36"/>
      <c r="E94" s="36"/>
      <c r="F94" s="37" t="str">
        <f t="shared" si="2"/>
        <v/>
      </c>
    </row>
    <row r="95" spans="1:6" outlineLevel="1" x14ac:dyDescent="0.35">
      <c r="A95" s="35">
        <v>18</v>
      </c>
      <c r="B95" s="36"/>
      <c r="C95" s="36"/>
      <c r="D95" s="36"/>
      <c r="E95" s="36"/>
      <c r="F95" s="37" t="str">
        <f t="shared" si="2"/>
        <v/>
      </c>
    </row>
    <row r="96" spans="1:6" outlineLevel="1" x14ac:dyDescent="0.35">
      <c r="A96" s="35">
        <v>18</v>
      </c>
      <c r="B96" s="36"/>
      <c r="C96" s="36"/>
      <c r="D96" s="36"/>
      <c r="E96" s="36"/>
      <c r="F96" s="37" t="str">
        <f t="shared" si="2"/>
        <v/>
      </c>
    </row>
    <row r="97" spans="1:6" outlineLevel="1" x14ac:dyDescent="0.35">
      <c r="A97" s="35">
        <v>18</v>
      </c>
      <c r="B97" s="36"/>
      <c r="C97" s="36"/>
      <c r="D97" s="36"/>
      <c r="E97" s="36"/>
      <c r="F97" s="37" t="str">
        <f t="shared" si="2"/>
        <v/>
      </c>
    </row>
    <row r="98" spans="1:6" outlineLevel="1" x14ac:dyDescent="0.35">
      <c r="A98" s="35">
        <v>18</v>
      </c>
      <c r="B98" s="36"/>
      <c r="C98" s="36"/>
      <c r="D98" s="36"/>
      <c r="E98" s="36"/>
      <c r="F98" s="37" t="str">
        <f t="shared" si="2"/>
        <v/>
      </c>
    </row>
    <row r="99" spans="1:6" outlineLevel="1" x14ac:dyDescent="0.35">
      <c r="A99" s="35">
        <v>18</v>
      </c>
      <c r="B99" s="36"/>
      <c r="C99" s="36"/>
      <c r="D99" s="36"/>
      <c r="E99" s="36"/>
      <c r="F99" s="37" t="str">
        <f t="shared" si="2"/>
        <v/>
      </c>
    </row>
    <row r="100" spans="1:6" outlineLevel="1" x14ac:dyDescent="0.35">
      <c r="A100" s="35">
        <v>18</v>
      </c>
      <c r="B100" s="36"/>
      <c r="C100" s="36"/>
      <c r="D100" s="36"/>
      <c r="E100" s="36"/>
      <c r="F100" s="37" t="str">
        <f t="shared" si="2"/>
        <v/>
      </c>
    </row>
    <row r="101" spans="1:6" outlineLevel="1" x14ac:dyDescent="0.35">
      <c r="A101" s="35">
        <v>18</v>
      </c>
      <c r="B101" s="36"/>
      <c r="C101" s="36"/>
      <c r="D101" s="36"/>
      <c r="E101" s="36"/>
      <c r="F101" s="37" t="str">
        <f t="shared" si="2"/>
        <v/>
      </c>
    </row>
    <row r="102" spans="1:6" outlineLevel="1" x14ac:dyDescent="0.35">
      <c r="A102" s="35">
        <v>18</v>
      </c>
      <c r="B102" s="36"/>
      <c r="C102" s="36"/>
      <c r="D102" s="36"/>
      <c r="E102" s="36"/>
      <c r="F102" s="37" t="str">
        <f t="shared" si="2"/>
        <v/>
      </c>
    </row>
    <row r="103" spans="1:6" outlineLevel="1" x14ac:dyDescent="0.35">
      <c r="A103" s="35">
        <v>18</v>
      </c>
      <c r="B103" s="36"/>
      <c r="C103" s="36"/>
      <c r="D103" s="36"/>
      <c r="E103" s="36"/>
      <c r="F103" s="37" t="str">
        <f t="shared" si="2"/>
        <v/>
      </c>
    </row>
    <row r="104" spans="1:6" outlineLevel="1" x14ac:dyDescent="0.35">
      <c r="A104" s="35">
        <v>18</v>
      </c>
      <c r="B104" s="36"/>
      <c r="C104" s="36"/>
      <c r="D104" s="36"/>
      <c r="E104" s="36"/>
      <c r="F104" s="37" t="str">
        <f t="shared" si="2"/>
        <v/>
      </c>
    </row>
    <row r="105" spans="1:6" outlineLevel="1" x14ac:dyDescent="0.35">
      <c r="A105" s="35">
        <v>18</v>
      </c>
      <c r="B105" s="36"/>
      <c r="C105" s="36"/>
      <c r="D105" s="36"/>
      <c r="E105" s="36"/>
      <c r="F105" s="37" t="str">
        <f t="shared" si="2"/>
        <v/>
      </c>
    </row>
    <row r="106" spans="1:6" outlineLevel="1" x14ac:dyDescent="0.35">
      <c r="A106" s="35">
        <v>18</v>
      </c>
      <c r="B106" s="36"/>
      <c r="C106" s="36"/>
      <c r="D106" s="36"/>
      <c r="E106" s="36"/>
      <c r="F106" s="37" t="str">
        <f t="shared" si="2"/>
        <v/>
      </c>
    </row>
    <row r="107" spans="1:6" outlineLevel="1" x14ac:dyDescent="0.35">
      <c r="A107" s="35">
        <v>18</v>
      </c>
      <c r="B107" s="36"/>
      <c r="C107" s="36"/>
      <c r="D107" s="36"/>
      <c r="E107" s="36"/>
      <c r="F107" s="37" t="str">
        <f t="shared" si="2"/>
        <v/>
      </c>
    </row>
    <row r="108" spans="1:6" outlineLevel="1" x14ac:dyDescent="0.35">
      <c r="A108" s="35">
        <v>18</v>
      </c>
      <c r="B108" s="36"/>
      <c r="C108" s="36"/>
      <c r="D108" s="36"/>
      <c r="E108" s="36"/>
      <c r="F108" s="37" t="str">
        <f t="shared" si="2"/>
        <v/>
      </c>
    </row>
    <row r="109" spans="1:6" outlineLevel="1" x14ac:dyDescent="0.35">
      <c r="A109" s="35">
        <v>18</v>
      </c>
      <c r="B109" s="36"/>
      <c r="C109" s="36"/>
      <c r="D109" s="36"/>
      <c r="E109" s="36"/>
      <c r="F109" s="37" t="str">
        <f t="shared" si="2"/>
        <v/>
      </c>
    </row>
    <row r="110" spans="1:6" outlineLevel="1" x14ac:dyDescent="0.35">
      <c r="A110" s="35">
        <v>18</v>
      </c>
      <c r="B110" s="36"/>
      <c r="C110" s="36"/>
      <c r="D110" s="36"/>
      <c r="E110" s="36"/>
      <c r="F110" s="37" t="str">
        <f t="shared" si="2"/>
        <v/>
      </c>
    </row>
    <row r="111" spans="1:6" outlineLevel="1" x14ac:dyDescent="0.35">
      <c r="A111" s="35">
        <v>18</v>
      </c>
      <c r="B111" s="36"/>
      <c r="C111" s="36"/>
      <c r="D111" s="36"/>
      <c r="E111" s="36"/>
      <c r="F111" s="37" t="str">
        <f t="shared" si="2"/>
        <v/>
      </c>
    </row>
    <row r="112" spans="1:6" outlineLevel="1" x14ac:dyDescent="0.35">
      <c r="A112" s="35">
        <v>18</v>
      </c>
      <c r="B112" s="36"/>
      <c r="C112" s="36"/>
      <c r="D112" s="36"/>
      <c r="E112" s="36"/>
      <c r="F112" s="37" t="str">
        <f t="shared" si="2"/>
        <v/>
      </c>
    </row>
    <row r="113" spans="1:6" outlineLevel="1" x14ac:dyDescent="0.35">
      <c r="A113" s="35">
        <v>18</v>
      </c>
      <c r="B113" s="36"/>
      <c r="C113" s="36"/>
      <c r="D113" s="36"/>
      <c r="E113" s="36"/>
      <c r="F113" s="37" t="str">
        <f t="shared" si="2"/>
        <v/>
      </c>
    </row>
    <row r="114" spans="1:6" outlineLevel="1" x14ac:dyDescent="0.35">
      <c r="A114" s="35">
        <v>18</v>
      </c>
      <c r="B114" s="36"/>
      <c r="C114" s="36"/>
      <c r="D114" s="36"/>
      <c r="E114" s="36"/>
      <c r="F114" s="37" t="str">
        <f t="shared" si="2"/>
        <v/>
      </c>
    </row>
    <row r="115" spans="1:6" outlineLevel="1" x14ac:dyDescent="0.35">
      <c r="A115" s="35">
        <v>18</v>
      </c>
      <c r="B115" s="36"/>
      <c r="C115" s="36"/>
      <c r="D115" s="36"/>
      <c r="E115" s="36"/>
      <c r="F115" s="37" t="str">
        <f t="shared" si="2"/>
        <v/>
      </c>
    </row>
    <row r="116" spans="1:6" outlineLevel="1" x14ac:dyDescent="0.35">
      <c r="A116" s="35">
        <v>18</v>
      </c>
      <c r="B116" s="36"/>
      <c r="C116" s="36"/>
      <c r="D116" s="36"/>
      <c r="E116" s="36"/>
      <c r="F116" s="37" t="str">
        <f t="shared" ref="F116:F147" si="3">IF(ROUND(E116/$K$11,2)&gt;0,ROUND(E116/$K$11,2),"")</f>
        <v/>
      </c>
    </row>
    <row r="117" spans="1:6" outlineLevel="1" x14ac:dyDescent="0.35">
      <c r="A117" s="35">
        <v>18</v>
      </c>
      <c r="B117" s="36"/>
      <c r="C117" s="36"/>
      <c r="D117" s="36"/>
      <c r="E117" s="36"/>
      <c r="F117" s="37" t="str">
        <f t="shared" si="3"/>
        <v/>
      </c>
    </row>
    <row r="118" spans="1:6" outlineLevel="1" x14ac:dyDescent="0.35">
      <c r="A118" s="35">
        <v>18</v>
      </c>
      <c r="B118" s="36"/>
      <c r="C118" s="36"/>
      <c r="D118" s="36"/>
      <c r="E118" s="36"/>
      <c r="F118" s="37" t="str">
        <f t="shared" si="3"/>
        <v/>
      </c>
    </row>
    <row r="119" spans="1:6" outlineLevel="1" x14ac:dyDescent="0.35">
      <c r="A119" s="35">
        <v>18</v>
      </c>
      <c r="B119" s="36"/>
      <c r="C119" s="36"/>
      <c r="D119" s="36"/>
      <c r="E119" s="36"/>
      <c r="F119" s="37" t="str">
        <f t="shared" si="3"/>
        <v/>
      </c>
    </row>
    <row r="120" spans="1:6" outlineLevel="1" x14ac:dyDescent="0.35">
      <c r="A120" s="35">
        <v>18</v>
      </c>
      <c r="B120" s="36"/>
      <c r="C120" s="36"/>
      <c r="D120" s="36"/>
      <c r="E120" s="36"/>
      <c r="F120" s="37" t="str">
        <f t="shared" si="3"/>
        <v/>
      </c>
    </row>
    <row r="121" spans="1:6" outlineLevel="1" x14ac:dyDescent="0.35">
      <c r="A121" s="35">
        <v>18</v>
      </c>
      <c r="B121" s="36"/>
      <c r="C121" s="36"/>
      <c r="D121" s="36"/>
      <c r="E121" s="36"/>
      <c r="F121" s="37" t="str">
        <f t="shared" si="3"/>
        <v/>
      </c>
    </row>
    <row r="122" spans="1:6" outlineLevel="1" x14ac:dyDescent="0.35">
      <c r="A122" s="35">
        <v>18</v>
      </c>
      <c r="B122" s="36"/>
      <c r="C122" s="36"/>
      <c r="D122" s="36"/>
      <c r="E122" s="36"/>
      <c r="F122" s="37" t="str">
        <f t="shared" si="3"/>
        <v/>
      </c>
    </row>
    <row r="123" spans="1:6" outlineLevel="1" x14ac:dyDescent="0.35">
      <c r="A123" s="35">
        <v>18</v>
      </c>
      <c r="B123" s="36"/>
      <c r="C123" s="36"/>
      <c r="D123" s="36"/>
      <c r="E123" s="36"/>
      <c r="F123" s="37" t="str">
        <f t="shared" si="3"/>
        <v/>
      </c>
    </row>
    <row r="124" spans="1:6" outlineLevel="1" x14ac:dyDescent="0.35">
      <c r="A124" s="35">
        <v>18</v>
      </c>
      <c r="B124" s="36"/>
      <c r="C124" s="36"/>
      <c r="D124" s="36"/>
      <c r="E124" s="36"/>
      <c r="F124" s="37" t="str">
        <f t="shared" si="3"/>
        <v/>
      </c>
    </row>
    <row r="125" spans="1:6" outlineLevel="1" x14ac:dyDescent="0.35">
      <c r="A125" s="35">
        <v>18</v>
      </c>
      <c r="B125" s="36"/>
      <c r="C125" s="36"/>
      <c r="D125" s="36"/>
      <c r="E125" s="36"/>
      <c r="F125" s="37" t="str">
        <f t="shared" si="3"/>
        <v/>
      </c>
    </row>
    <row r="126" spans="1:6" outlineLevel="1" x14ac:dyDescent="0.35">
      <c r="A126" s="35">
        <v>18</v>
      </c>
      <c r="B126" s="36"/>
      <c r="C126" s="36"/>
      <c r="D126" s="36"/>
      <c r="E126" s="36"/>
      <c r="F126" s="37" t="str">
        <f t="shared" si="3"/>
        <v/>
      </c>
    </row>
    <row r="127" spans="1:6" outlineLevel="1" x14ac:dyDescent="0.35">
      <c r="A127" s="35">
        <v>18</v>
      </c>
      <c r="B127" s="36"/>
      <c r="C127" s="36"/>
      <c r="D127" s="36"/>
      <c r="E127" s="36"/>
      <c r="F127" s="37" t="str">
        <f t="shared" si="3"/>
        <v/>
      </c>
    </row>
    <row r="128" spans="1:6" outlineLevel="1" x14ac:dyDescent="0.35">
      <c r="A128" s="35">
        <v>18</v>
      </c>
      <c r="B128" s="36"/>
      <c r="C128" s="36"/>
      <c r="D128" s="36"/>
      <c r="E128" s="36"/>
      <c r="F128" s="37" t="str">
        <f t="shared" si="3"/>
        <v/>
      </c>
    </row>
    <row r="129" spans="1:6" outlineLevel="1" x14ac:dyDescent="0.35">
      <c r="A129" s="35">
        <v>18</v>
      </c>
      <c r="B129" s="36"/>
      <c r="C129" s="36"/>
      <c r="D129" s="36"/>
      <c r="E129" s="36"/>
      <c r="F129" s="37" t="str">
        <f t="shared" si="3"/>
        <v/>
      </c>
    </row>
    <row r="130" spans="1:6" outlineLevel="1" x14ac:dyDescent="0.35">
      <c r="A130" s="35">
        <v>18</v>
      </c>
      <c r="B130" s="36"/>
      <c r="C130" s="36"/>
      <c r="D130" s="36"/>
      <c r="E130" s="36"/>
      <c r="F130" s="37" t="str">
        <f t="shared" si="3"/>
        <v/>
      </c>
    </row>
    <row r="131" spans="1:6" outlineLevel="1" x14ac:dyDescent="0.35">
      <c r="A131" s="35">
        <v>18</v>
      </c>
      <c r="B131" s="36"/>
      <c r="C131" s="36"/>
      <c r="D131" s="36"/>
      <c r="E131" s="36"/>
      <c r="F131" s="37" t="str">
        <f t="shared" si="3"/>
        <v/>
      </c>
    </row>
    <row r="132" spans="1:6" outlineLevel="1" x14ac:dyDescent="0.35">
      <c r="A132" s="35">
        <v>18</v>
      </c>
      <c r="B132" s="36"/>
      <c r="C132" s="36"/>
      <c r="D132" s="36"/>
      <c r="E132" s="36"/>
      <c r="F132" s="37" t="str">
        <f t="shared" si="3"/>
        <v/>
      </c>
    </row>
    <row r="133" spans="1:6" outlineLevel="1" x14ac:dyDescent="0.35">
      <c r="A133" s="35">
        <v>18</v>
      </c>
      <c r="B133" s="36"/>
      <c r="C133" s="36"/>
      <c r="D133" s="36"/>
      <c r="E133" s="36"/>
      <c r="F133" s="37" t="str">
        <f t="shared" si="3"/>
        <v/>
      </c>
    </row>
    <row r="134" spans="1:6" outlineLevel="1" x14ac:dyDescent="0.35">
      <c r="A134" s="35">
        <v>18</v>
      </c>
      <c r="B134" s="36"/>
      <c r="C134" s="36"/>
      <c r="D134" s="36"/>
      <c r="E134" s="36"/>
      <c r="F134" s="37" t="str">
        <f t="shared" si="3"/>
        <v/>
      </c>
    </row>
    <row r="135" spans="1:6" outlineLevel="1" x14ac:dyDescent="0.35">
      <c r="A135" s="35">
        <v>18</v>
      </c>
      <c r="B135" s="36"/>
      <c r="C135" s="36"/>
      <c r="D135" s="36"/>
      <c r="E135" s="36"/>
      <c r="F135" s="37" t="str">
        <f t="shared" si="3"/>
        <v/>
      </c>
    </row>
    <row r="136" spans="1:6" outlineLevel="1" x14ac:dyDescent="0.35">
      <c r="A136" s="35">
        <v>18</v>
      </c>
      <c r="B136" s="36"/>
      <c r="C136" s="36"/>
      <c r="D136" s="36"/>
      <c r="E136" s="36"/>
      <c r="F136" s="37" t="str">
        <f t="shared" si="3"/>
        <v/>
      </c>
    </row>
    <row r="137" spans="1:6" outlineLevel="1" x14ac:dyDescent="0.35">
      <c r="A137" s="35">
        <v>18</v>
      </c>
      <c r="B137" s="36"/>
      <c r="C137" s="36"/>
      <c r="D137" s="36"/>
      <c r="E137" s="36"/>
      <c r="F137" s="37" t="str">
        <f t="shared" si="3"/>
        <v/>
      </c>
    </row>
    <row r="138" spans="1:6" outlineLevel="1" x14ac:dyDescent="0.35">
      <c r="A138" s="35">
        <v>18</v>
      </c>
      <c r="B138" s="36"/>
      <c r="C138" s="36"/>
      <c r="D138" s="36"/>
      <c r="E138" s="36"/>
      <c r="F138" s="37" t="str">
        <f t="shared" si="3"/>
        <v/>
      </c>
    </row>
    <row r="139" spans="1:6" outlineLevel="1" x14ac:dyDescent="0.35">
      <c r="A139" s="35">
        <v>18</v>
      </c>
      <c r="B139" s="36"/>
      <c r="C139" s="36"/>
      <c r="D139" s="36"/>
      <c r="E139" s="36"/>
      <c r="F139" s="37" t="str">
        <f t="shared" si="3"/>
        <v/>
      </c>
    </row>
    <row r="140" spans="1:6" outlineLevel="1" x14ac:dyDescent="0.35">
      <c r="A140" s="35">
        <v>18</v>
      </c>
      <c r="B140" s="36"/>
      <c r="C140" s="36"/>
      <c r="D140" s="36"/>
      <c r="E140" s="36"/>
      <c r="F140" s="37" t="str">
        <f t="shared" si="3"/>
        <v/>
      </c>
    </row>
    <row r="141" spans="1:6" outlineLevel="1" x14ac:dyDescent="0.35">
      <c r="A141" s="35">
        <v>18</v>
      </c>
      <c r="B141" s="36"/>
      <c r="C141" s="36"/>
      <c r="D141" s="36"/>
      <c r="E141" s="36"/>
      <c r="F141" s="37" t="str">
        <f t="shared" si="3"/>
        <v/>
      </c>
    </row>
    <row r="142" spans="1:6" outlineLevel="1" x14ac:dyDescent="0.35">
      <c r="A142" s="35">
        <v>18</v>
      </c>
      <c r="B142" s="36"/>
      <c r="C142" s="36"/>
      <c r="D142" s="36"/>
      <c r="E142" s="36"/>
      <c r="F142" s="37" t="str">
        <f t="shared" si="3"/>
        <v/>
      </c>
    </row>
    <row r="143" spans="1:6" outlineLevel="1" x14ac:dyDescent="0.35">
      <c r="A143" s="35">
        <v>18</v>
      </c>
      <c r="B143" s="36"/>
      <c r="C143" s="36"/>
      <c r="D143" s="36"/>
      <c r="E143" s="36"/>
      <c r="F143" s="37" t="str">
        <f t="shared" si="3"/>
        <v/>
      </c>
    </row>
    <row r="144" spans="1:6" x14ac:dyDescent="0.35">
      <c r="A144" s="38"/>
      <c r="B144" s="38"/>
      <c r="C144" s="39" t="s">
        <v>734</v>
      </c>
      <c r="D144" s="38"/>
      <c r="E144" s="38"/>
      <c r="F144" s="37"/>
    </row>
    <row r="145" spans="1:6" outlineLevel="1" x14ac:dyDescent="0.35">
      <c r="A145" s="35">
        <v>18</v>
      </c>
      <c r="B145" s="36"/>
      <c r="C145" s="36"/>
      <c r="D145" s="36"/>
      <c r="E145" s="36"/>
      <c r="F145" s="37" t="str">
        <f t="shared" ref="F145:F176" si="4">IF(ROUND(E145/$K$11,2)&gt;0,ROUND(E145/$K$11,2),"")</f>
        <v/>
      </c>
    </row>
    <row r="146" spans="1:6" outlineLevel="1" x14ac:dyDescent="0.35">
      <c r="A146" s="35">
        <v>18</v>
      </c>
      <c r="B146" s="36"/>
      <c r="C146" s="36"/>
      <c r="D146" s="36"/>
      <c r="E146" s="36"/>
      <c r="F146" s="37" t="str">
        <f t="shared" si="4"/>
        <v/>
      </c>
    </row>
    <row r="147" spans="1:6" outlineLevel="1" x14ac:dyDescent="0.35">
      <c r="A147" s="35">
        <v>18</v>
      </c>
      <c r="B147" s="36"/>
      <c r="C147" s="36"/>
      <c r="D147" s="36"/>
      <c r="E147" s="36"/>
      <c r="F147" s="37" t="str">
        <f t="shared" si="4"/>
        <v/>
      </c>
    </row>
    <row r="148" spans="1:6" outlineLevel="1" x14ac:dyDescent="0.35">
      <c r="A148" s="35">
        <v>18</v>
      </c>
      <c r="B148" s="36"/>
      <c r="C148" s="36"/>
      <c r="D148" s="36"/>
      <c r="E148" s="36"/>
      <c r="F148" s="37" t="str">
        <f t="shared" si="4"/>
        <v/>
      </c>
    </row>
    <row r="149" spans="1:6" outlineLevel="1" x14ac:dyDescent="0.35">
      <c r="A149" s="35">
        <v>18</v>
      </c>
      <c r="B149" s="36"/>
      <c r="C149" s="36"/>
      <c r="D149" s="36"/>
      <c r="E149" s="36"/>
      <c r="F149" s="37" t="str">
        <f t="shared" si="4"/>
        <v/>
      </c>
    </row>
    <row r="150" spans="1:6" outlineLevel="1" x14ac:dyDescent="0.35">
      <c r="A150" s="35">
        <v>18</v>
      </c>
      <c r="B150" s="36"/>
      <c r="C150" s="36"/>
      <c r="D150" s="36"/>
      <c r="E150" s="36"/>
      <c r="F150" s="37" t="str">
        <f t="shared" si="4"/>
        <v/>
      </c>
    </row>
    <row r="151" spans="1:6" outlineLevel="1" x14ac:dyDescent="0.35">
      <c r="A151" s="35">
        <v>18</v>
      </c>
      <c r="B151" s="36"/>
      <c r="C151" s="36"/>
      <c r="D151" s="36"/>
      <c r="E151" s="36"/>
      <c r="F151" s="37" t="str">
        <f t="shared" si="4"/>
        <v/>
      </c>
    </row>
    <row r="152" spans="1:6" outlineLevel="1" x14ac:dyDescent="0.35">
      <c r="A152" s="35">
        <v>18</v>
      </c>
      <c r="B152" s="36"/>
      <c r="C152" s="36"/>
      <c r="D152" s="36"/>
      <c r="E152" s="36"/>
      <c r="F152" s="37" t="str">
        <f t="shared" si="4"/>
        <v/>
      </c>
    </row>
    <row r="153" spans="1:6" outlineLevel="1" x14ac:dyDescent="0.35">
      <c r="A153" s="35">
        <v>18</v>
      </c>
      <c r="B153" s="36"/>
      <c r="C153" s="36"/>
      <c r="D153" s="36"/>
      <c r="E153" s="36"/>
      <c r="F153" s="37" t="str">
        <f t="shared" si="4"/>
        <v/>
      </c>
    </row>
    <row r="154" spans="1:6" outlineLevel="1" x14ac:dyDescent="0.35">
      <c r="A154" s="35">
        <v>18</v>
      </c>
      <c r="B154" s="36"/>
      <c r="C154" s="36"/>
      <c r="D154" s="36"/>
      <c r="E154" s="36"/>
      <c r="F154" s="37" t="str">
        <f t="shared" si="4"/>
        <v/>
      </c>
    </row>
    <row r="155" spans="1:6" outlineLevel="1" x14ac:dyDescent="0.35">
      <c r="A155" s="35">
        <v>18</v>
      </c>
      <c r="B155" s="36"/>
      <c r="C155" s="36"/>
      <c r="D155" s="36"/>
      <c r="E155" s="36"/>
      <c r="F155" s="37" t="str">
        <f t="shared" si="4"/>
        <v/>
      </c>
    </row>
    <row r="156" spans="1:6" outlineLevel="1" x14ac:dyDescent="0.35">
      <c r="A156" s="35">
        <v>18</v>
      </c>
      <c r="B156" s="36"/>
      <c r="C156" s="36"/>
      <c r="D156" s="36"/>
      <c r="E156" s="36"/>
      <c r="F156" s="37" t="str">
        <f t="shared" si="4"/>
        <v/>
      </c>
    </row>
    <row r="157" spans="1:6" outlineLevel="1" x14ac:dyDescent="0.35">
      <c r="A157" s="35">
        <v>18</v>
      </c>
      <c r="B157" s="36"/>
      <c r="C157" s="36"/>
      <c r="D157" s="36"/>
      <c r="E157" s="36"/>
      <c r="F157" s="37" t="str">
        <f t="shared" si="4"/>
        <v/>
      </c>
    </row>
    <row r="158" spans="1:6" outlineLevel="1" x14ac:dyDescent="0.35">
      <c r="A158" s="35">
        <v>18</v>
      </c>
      <c r="B158" s="36"/>
      <c r="C158" s="36"/>
      <c r="D158" s="36"/>
      <c r="E158" s="36"/>
      <c r="F158" s="37" t="str">
        <f t="shared" si="4"/>
        <v/>
      </c>
    </row>
    <row r="159" spans="1:6" outlineLevel="1" x14ac:dyDescent="0.35">
      <c r="A159" s="35">
        <v>18</v>
      </c>
      <c r="B159" s="36"/>
      <c r="C159" s="36"/>
      <c r="D159" s="36"/>
      <c r="E159" s="36"/>
      <c r="F159" s="37" t="str">
        <f t="shared" si="4"/>
        <v/>
      </c>
    </row>
    <row r="160" spans="1:6" outlineLevel="1" x14ac:dyDescent="0.35">
      <c r="A160" s="35">
        <v>18</v>
      </c>
      <c r="B160" s="36"/>
      <c r="C160" s="36"/>
      <c r="D160" s="36"/>
      <c r="E160" s="36"/>
      <c r="F160" s="37" t="str">
        <f t="shared" si="4"/>
        <v/>
      </c>
    </row>
    <row r="161" spans="1:6" outlineLevel="1" x14ac:dyDescent="0.35">
      <c r="A161" s="35">
        <v>18</v>
      </c>
      <c r="B161" s="36"/>
      <c r="C161" s="36"/>
      <c r="D161" s="36"/>
      <c r="E161" s="36"/>
      <c r="F161" s="37" t="str">
        <f t="shared" si="4"/>
        <v/>
      </c>
    </row>
    <row r="162" spans="1:6" outlineLevel="1" x14ac:dyDescent="0.35">
      <c r="A162" s="35">
        <v>18</v>
      </c>
      <c r="B162" s="36"/>
      <c r="C162" s="36"/>
      <c r="D162" s="36"/>
      <c r="E162" s="36"/>
      <c r="F162" s="37" t="str">
        <f t="shared" si="4"/>
        <v/>
      </c>
    </row>
    <row r="163" spans="1:6" outlineLevel="1" x14ac:dyDescent="0.35">
      <c r="A163" s="35">
        <v>18</v>
      </c>
      <c r="B163" s="36"/>
      <c r="C163" s="36"/>
      <c r="D163" s="36"/>
      <c r="E163" s="36"/>
      <c r="F163" s="37" t="str">
        <f t="shared" si="4"/>
        <v/>
      </c>
    </row>
    <row r="164" spans="1:6" outlineLevel="1" x14ac:dyDescent="0.35">
      <c r="A164" s="35">
        <v>18</v>
      </c>
      <c r="B164" s="36"/>
      <c r="C164" s="36"/>
      <c r="D164" s="36"/>
      <c r="E164" s="36"/>
      <c r="F164" s="37" t="str">
        <f t="shared" si="4"/>
        <v/>
      </c>
    </row>
    <row r="165" spans="1:6" outlineLevel="1" x14ac:dyDescent="0.35">
      <c r="A165" s="35">
        <v>18</v>
      </c>
      <c r="B165" s="36"/>
      <c r="C165" s="36"/>
      <c r="D165" s="36"/>
      <c r="E165" s="36"/>
      <c r="F165" s="37" t="str">
        <f t="shared" si="4"/>
        <v/>
      </c>
    </row>
    <row r="166" spans="1:6" outlineLevel="1" x14ac:dyDescent="0.35">
      <c r="A166" s="35">
        <v>18</v>
      </c>
      <c r="B166" s="36"/>
      <c r="C166" s="36"/>
      <c r="D166" s="36"/>
      <c r="E166" s="36"/>
      <c r="F166" s="37" t="str">
        <f t="shared" si="4"/>
        <v/>
      </c>
    </row>
    <row r="167" spans="1:6" outlineLevel="1" x14ac:dyDescent="0.35">
      <c r="A167" s="35">
        <v>18</v>
      </c>
      <c r="B167" s="36"/>
      <c r="C167" s="36"/>
      <c r="D167" s="36"/>
      <c r="E167" s="36"/>
      <c r="F167" s="37" t="str">
        <f t="shared" si="4"/>
        <v/>
      </c>
    </row>
    <row r="168" spans="1:6" outlineLevel="1" x14ac:dyDescent="0.35">
      <c r="A168" s="35">
        <v>18</v>
      </c>
      <c r="B168" s="36"/>
      <c r="C168" s="36"/>
      <c r="D168" s="36"/>
      <c r="E168" s="36"/>
      <c r="F168" s="37" t="str">
        <f t="shared" si="4"/>
        <v/>
      </c>
    </row>
    <row r="169" spans="1:6" outlineLevel="1" x14ac:dyDescent="0.35">
      <c r="A169" s="35">
        <v>18</v>
      </c>
      <c r="B169" s="36"/>
      <c r="C169" s="36"/>
      <c r="D169" s="36"/>
      <c r="E169" s="36"/>
      <c r="F169" s="37" t="str">
        <f t="shared" si="4"/>
        <v/>
      </c>
    </row>
    <row r="170" spans="1:6" outlineLevel="1" x14ac:dyDescent="0.35">
      <c r="A170" s="35">
        <v>18</v>
      </c>
      <c r="B170" s="36"/>
      <c r="C170" s="36"/>
      <c r="D170" s="36"/>
      <c r="E170" s="36"/>
      <c r="F170" s="37" t="str">
        <f t="shared" si="4"/>
        <v/>
      </c>
    </row>
    <row r="171" spans="1:6" outlineLevel="1" x14ac:dyDescent="0.35">
      <c r="A171" s="35">
        <v>18</v>
      </c>
      <c r="B171" s="36"/>
      <c r="C171" s="36"/>
      <c r="D171" s="36"/>
      <c r="E171" s="36"/>
      <c r="F171" s="37" t="str">
        <f t="shared" si="4"/>
        <v/>
      </c>
    </row>
    <row r="172" spans="1:6" outlineLevel="1" x14ac:dyDescent="0.35">
      <c r="A172" s="35">
        <v>18</v>
      </c>
      <c r="B172" s="36"/>
      <c r="C172" s="36"/>
      <c r="D172" s="36"/>
      <c r="E172" s="36"/>
      <c r="F172" s="37" t="str">
        <f t="shared" si="4"/>
        <v/>
      </c>
    </row>
    <row r="173" spans="1:6" outlineLevel="1" x14ac:dyDescent="0.35">
      <c r="A173" s="35">
        <v>18</v>
      </c>
      <c r="B173" s="36"/>
      <c r="C173" s="36"/>
      <c r="D173" s="36"/>
      <c r="E173" s="36"/>
      <c r="F173" s="37" t="str">
        <f t="shared" si="4"/>
        <v/>
      </c>
    </row>
    <row r="174" spans="1:6" outlineLevel="1" x14ac:dyDescent="0.35">
      <c r="A174" s="35">
        <v>18</v>
      </c>
      <c r="B174" s="36"/>
      <c r="C174" s="36"/>
      <c r="D174" s="36"/>
      <c r="E174" s="36"/>
      <c r="F174" s="37" t="str">
        <f t="shared" si="4"/>
        <v/>
      </c>
    </row>
    <row r="175" spans="1:6" outlineLevel="1" x14ac:dyDescent="0.35">
      <c r="A175" s="35">
        <v>18</v>
      </c>
      <c r="B175" s="36"/>
      <c r="C175" s="36"/>
      <c r="D175" s="36"/>
      <c r="E175" s="36"/>
      <c r="F175" s="37" t="str">
        <f t="shared" si="4"/>
        <v/>
      </c>
    </row>
    <row r="176" spans="1:6" outlineLevel="1" x14ac:dyDescent="0.35">
      <c r="A176" s="35">
        <v>18</v>
      </c>
      <c r="B176" s="36"/>
      <c r="C176" s="36"/>
      <c r="D176" s="36"/>
      <c r="E176" s="36"/>
      <c r="F176" s="37" t="str">
        <f t="shared" si="4"/>
        <v/>
      </c>
    </row>
    <row r="177" spans="1:6" outlineLevel="1" x14ac:dyDescent="0.35">
      <c r="A177" s="35">
        <v>18</v>
      </c>
      <c r="B177" s="36"/>
      <c r="C177" s="36"/>
      <c r="D177" s="36"/>
      <c r="E177" s="36"/>
      <c r="F177" s="37" t="str">
        <f t="shared" ref="F177:F208" si="5">IF(ROUND(E177/$K$11,2)&gt;0,ROUND(E177/$K$11,2),"")</f>
        <v/>
      </c>
    </row>
    <row r="178" spans="1:6" outlineLevel="1" x14ac:dyDescent="0.35">
      <c r="A178" s="35">
        <v>18</v>
      </c>
      <c r="B178" s="36"/>
      <c r="C178" s="36"/>
      <c r="D178" s="36"/>
      <c r="E178" s="36"/>
      <c r="F178" s="37" t="str">
        <f t="shared" si="5"/>
        <v/>
      </c>
    </row>
    <row r="179" spans="1:6" outlineLevel="1" x14ac:dyDescent="0.35">
      <c r="A179" s="35">
        <v>18</v>
      </c>
      <c r="B179" s="36"/>
      <c r="C179" s="36"/>
      <c r="D179" s="36"/>
      <c r="E179" s="36"/>
      <c r="F179" s="37" t="str">
        <f t="shared" si="5"/>
        <v/>
      </c>
    </row>
    <row r="180" spans="1:6" outlineLevel="1" x14ac:dyDescent="0.35">
      <c r="A180" s="35">
        <v>18</v>
      </c>
      <c r="B180" s="36"/>
      <c r="C180" s="36"/>
      <c r="D180" s="36"/>
      <c r="E180" s="36"/>
      <c r="F180" s="37" t="str">
        <f t="shared" si="5"/>
        <v/>
      </c>
    </row>
    <row r="181" spans="1:6" outlineLevel="1" x14ac:dyDescent="0.35">
      <c r="A181" s="35">
        <v>18</v>
      </c>
      <c r="B181" s="36"/>
      <c r="C181" s="36"/>
      <c r="D181" s="36"/>
      <c r="E181" s="36"/>
      <c r="F181" s="37" t="str">
        <f t="shared" si="5"/>
        <v/>
      </c>
    </row>
    <row r="182" spans="1:6" outlineLevel="1" x14ac:dyDescent="0.35">
      <c r="A182" s="35">
        <v>18</v>
      </c>
      <c r="B182" s="36"/>
      <c r="C182" s="36"/>
      <c r="D182" s="36"/>
      <c r="E182" s="36"/>
      <c r="F182" s="37" t="str">
        <f t="shared" si="5"/>
        <v/>
      </c>
    </row>
    <row r="183" spans="1:6" outlineLevel="1" x14ac:dyDescent="0.35">
      <c r="A183" s="35">
        <v>18</v>
      </c>
      <c r="B183" s="36"/>
      <c r="C183" s="36"/>
      <c r="D183" s="36"/>
      <c r="E183" s="36"/>
      <c r="F183" s="37" t="str">
        <f t="shared" si="5"/>
        <v/>
      </c>
    </row>
    <row r="184" spans="1:6" outlineLevel="1" x14ac:dyDescent="0.35">
      <c r="A184" s="35">
        <v>18</v>
      </c>
      <c r="B184" s="36"/>
      <c r="C184" s="36"/>
      <c r="D184" s="36"/>
      <c r="E184" s="36"/>
      <c r="F184" s="37" t="str">
        <f t="shared" si="5"/>
        <v/>
      </c>
    </row>
    <row r="185" spans="1:6" outlineLevel="1" x14ac:dyDescent="0.35">
      <c r="A185" s="35">
        <v>18</v>
      </c>
      <c r="B185" s="36"/>
      <c r="C185" s="36"/>
      <c r="D185" s="36"/>
      <c r="E185" s="36"/>
      <c r="F185" s="37" t="str">
        <f t="shared" si="5"/>
        <v/>
      </c>
    </row>
    <row r="186" spans="1:6" outlineLevel="1" x14ac:dyDescent="0.35">
      <c r="A186" s="35">
        <v>18</v>
      </c>
      <c r="B186" s="36"/>
      <c r="C186" s="36"/>
      <c r="D186" s="36"/>
      <c r="E186" s="36"/>
      <c r="F186" s="37" t="str">
        <f t="shared" si="5"/>
        <v/>
      </c>
    </row>
    <row r="187" spans="1:6" outlineLevel="1" x14ac:dyDescent="0.35">
      <c r="A187" s="35">
        <v>18</v>
      </c>
      <c r="B187" s="36"/>
      <c r="C187" s="36"/>
      <c r="D187" s="36"/>
      <c r="E187" s="36"/>
      <c r="F187" s="37" t="str">
        <f t="shared" si="5"/>
        <v/>
      </c>
    </row>
    <row r="188" spans="1:6" outlineLevel="1" x14ac:dyDescent="0.35">
      <c r="A188" s="35">
        <v>18</v>
      </c>
      <c r="B188" s="36"/>
      <c r="C188" s="36"/>
      <c r="D188" s="36"/>
      <c r="E188" s="36"/>
      <c r="F188" s="37" t="str">
        <f t="shared" si="5"/>
        <v/>
      </c>
    </row>
    <row r="189" spans="1:6" outlineLevel="1" x14ac:dyDescent="0.35">
      <c r="A189" s="35">
        <v>18</v>
      </c>
      <c r="B189" s="36"/>
      <c r="C189" s="36"/>
      <c r="D189" s="36"/>
      <c r="E189" s="36"/>
      <c r="F189" s="37" t="str">
        <f t="shared" si="5"/>
        <v/>
      </c>
    </row>
    <row r="190" spans="1:6" outlineLevel="1" x14ac:dyDescent="0.35">
      <c r="A190" s="35">
        <v>18</v>
      </c>
      <c r="B190" s="36"/>
      <c r="C190" s="36"/>
      <c r="D190" s="36"/>
      <c r="E190" s="36"/>
      <c r="F190" s="37" t="str">
        <f t="shared" si="5"/>
        <v/>
      </c>
    </row>
    <row r="191" spans="1:6" outlineLevel="1" x14ac:dyDescent="0.35">
      <c r="A191" s="35">
        <v>18</v>
      </c>
      <c r="B191" s="36"/>
      <c r="C191" s="36"/>
      <c r="D191" s="36"/>
      <c r="E191" s="36"/>
      <c r="F191" s="37" t="str">
        <f t="shared" si="5"/>
        <v/>
      </c>
    </row>
    <row r="192" spans="1:6" outlineLevel="1" x14ac:dyDescent="0.35">
      <c r="A192" s="35">
        <v>18</v>
      </c>
      <c r="B192" s="36"/>
      <c r="C192" s="36"/>
      <c r="D192" s="36"/>
      <c r="E192" s="36"/>
      <c r="F192" s="37" t="str">
        <f t="shared" si="5"/>
        <v/>
      </c>
    </row>
    <row r="193" spans="1:6" outlineLevel="1" x14ac:dyDescent="0.35">
      <c r="A193" s="35">
        <v>18</v>
      </c>
      <c r="B193" s="36"/>
      <c r="C193" s="36"/>
      <c r="D193" s="36"/>
      <c r="E193" s="36"/>
      <c r="F193" s="37" t="str">
        <f t="shared" si="5"/>
        <v/>
      </c>
    </row>
    <row r="194" spans="1:6" outlineLevel="1" x14ac:dyDescent="0.35">
      <c r="A194" s="35">
        <v>18</v>
      </c>
      <c r="B194" s="36"/>
      <c r="C194" s="36"/>
      <c r="D194" s="36"/>
      <c r="E194" s="36"/>
      <c r="F194" s="37" t="str">
        <f t="shared" si="5"/>
        <v/>
      </c>
    </row>
    <row r="195" spans="1:6" outlineLevel="1" x14ac:dyDescent="0.35">
      <c r="A195" s="35">
        <v>18</v>
      </c>
      <c r="B195" s="36"/>
      <c r="C195" s="36"/>
      <c r="D195" s="36"/>
      <c r="E195" s="36"/>
      <c r="F195" s="37" t="str">
        <f t="shared" si="5"/>
        <v/>
      </c>
    </row>
    <row r="196" spans="1:6" outlineLevel="1" x14ac:dyDescent="0.35">
      <c r="A196" s="35">
        <v>18</v>
      </c>
      <c r="B196" s="36"/>
      <c r="C196" s="36"/>
      <c r="D196" s="36"/>
      <c r="E196" s="36"/>
      <c r="F196" s="37" t="str">
        <f t="shared" si="5"/>
        <v/>
      </c>
    </row>
    <row r="197" spans="1:6" outlineLevel="1" x14ac:dyDescent="0.35">
      <c r="A197" s="35">
        <v>18</v>
      </c>
      <c r="B197" s="36"/>
      <c r="C197" s="36"/>
      <c r="D197" s="36"/>
      <c r="E197" s="36"/>
      <c r="F197" s="37" t="str">
        <f t="shared" si="5"/>
        <v/>
      </c>
    </row>
    <row r="198" spans="1:6" outlineLevel="1" x14ac:dyDescent="0.35">
      <c r="A198" s="35">
        <v>18</v>
      </c>
      <c r="B198" s="36"/>
      <c r="C198" s="36"/>
      <c r="D198" s="36"/>
      <c r="E198" s="36"/>
      <c r="F198" s="37" t="str">
        <f t="shared" si="5"/>
        <v/>
      </c>
    </row>
    <row r="199" spans="1:6" outlineLevel="1" x14ac:dyDescent="0.35">
      <c r="A199" s="35">
        <v>18</v>
      </c>
      <c r="B199" s="36"/>
      <c r="C199" s="36"/>
      <c r="D199" s="36"/>
      <c r="E199" s="36"/>
      <c r="F199" s="37" t="str">
        <f t="shared" si="5"/>
        <v/>
      </c>
    </row>
    <row r="200" spans="1:6" outlineLevel="1" x14ac:dyDescent="0.35">
      <c r="A200" s="35">
        <v>18</v>
      </c>
      <c r="B200" s="36"/>
      <c r="C200" s="36"/>
      <c r="D200" s="36"/>
      <c r="E200" s="36"/>
      <c r="F200" s="37" t="str">
        <f t="shared" si="5"/>
        <v/>
      </c>
    </row>
    <row r="201" spans="1:6" outlineLevel="1" x14ac:dyDescent="0.35">
      <c r="A201" s="35">
        <v>18</v>
      </c>
      <c r="B201" s="36"/>
      <c r="C201" s="36"/>
      <c r="D201" s="36"/>
      <c r="E201" s="36"/>
      <c r="F201" s="37" t="str">
        <f t="shared" si="5"/>
        <v/>
      </c>
    </row>
    <row r="202" spans="1:6" outlineLevel="1" x14ac:dyDescent="0.35">
      <c r="A202" s="35">
        <v>18</v>
      </c>
      <c r="B202" s="36"/>
      <c r="C202" s="36"/>
      <c r="D202" s="36"/>
      <c r="E202" s="36"/>
      <c r="F202" s="37" t="str">
        <f t="shared" si="5"/>
        <v/>
      </c>
    </row>
    <row r="203" spans="1:6" outlineLevel="1" x14ac:dyDescent="0.35">
      <c r="A203" s="35">
        <v>18</v>
      </c>
      <c r="B203" s="36"/>
      <c r="C203" s="36"/>
      <c r="D203" s="36"/>
      <c r="E203" s="36"/>
      <c r="F203" s="37" t="str">
        <f t="shared" si="5"/>
        <v/>
      </c>
    </row>
    <row r="204" spans="1:6" outlineLevel="1" x14ac:dyDescent="0.35">
      <c r="A204" s="35">
        <v>18</v>
      </c>
      <c r="B204" s="36"/>
      <c r="C204" s="36"/>
      <c r="D204" s="36"/>
      <c r="E204" s="36"/>
      <c r="F204" s="37" t="str">
        <f t="shared" si="5"/>
        <v/>
      </c>
    </row>
    <row r="205" spans="1:6" x14ac:dyDescent="0.35">
      <c r="A205" s="38"/>
      <c r="B205" s="38"/>
      <c r="C205" s="39" t="s">
        <v>735</v>
      </c>
      <c r="D205" s="38"/>
      <c r="E205" s="38"/>
      <c r="F205" s="37"/>
    </row>
    <row r="206" spans="1:6" outlineLevel="1" x14ac:dyDescent="0.35">
      <c r="A206" s="35">
        <v>18</v>
      </c>
      <c r="B206" s="36"/>
      <c r="C206" s="36"/>
      <c r="D206" s="36"/>
      <c r="E206" s="36"/>
      <c r="F206" s="37" t="str">
        <f t="shared" ref="F206:F237" si="6">IF(ROUND(E206/$K$11,2)&gt;0,ROUND(E206/$K$11,2),"")</f>
        <v/>
      </c>
    </row>
    <row r="207" spans="1:6" outlineLevel="1" x14ac:dyDescent="0.35">
      <c r="A207" s="35">
        <v>18</v>
      </c>
      <c r="B207" s="36"/>
      <c r="C207" s="36"/>
      <c r="D207" s="36"/>
      <c r="E207" s="36"/>
      <c r="F207" s="37" t="str">
        <f t="shared" si="6"/>
        <v/>
      </c>
    </row>
    <row r="208" spans="1:6" outlineLevel="1" x14ac:dyDescent="0.35">
      <c r="A208" s="35">
        <v>18</v>
      </c>
      <c r="B208" s="36"/>
      <c r="C208" s="36"/>
      <c r="D208" s="36"/>
      <c r="E208" s="36"/>
      <c r="F208" s="37" t="str">
        <f t="shared" si="6"/>
        <v/>
      </c>
    </row>
    <row r="209" spans="1:6" outlineLevel="1" x14ac:dyDescent="0.35">
      <c r="A209" s="35">
        <v>18</v>
      </c>
      <c r="B209" s="36"/>
      <c r="C209" s="36"/>
      <c r="D209" s="36"/>
      <c r="E209" s="36"/>
      <c r="F209" s="37" t="str">
        <f t="shared" si="6"/>
        <v/>
      </c>
    </row>
    <row r="210" spans="1:6" outlineLevel="1" x14ac:dyDescent="0.35">
      <c r="A210" s="35">
        <v>18</v>
      </c>
      <c r="B210" s="36"/>
      <c r="C210" s="36"/>
      <c r="D210" s="36"/>
      <c r="E210" s="36"/>
      <c r="F210" s="37" t="str">
        <f t="shared" si="6"/>
        <v/>
      </c>
    </row>
    <row r="211" spans="1:6" outlineLevel="1" x14ac:dyDescent="0.35">
      <c r="A211" s="35">
        <v>18</v>
      </c>
      <c r="B211" s="36"/>
      <c r="C211" s="36"/>
      <c r="D211" s="36"/>
      <c r="E211" s="36"/>
      <c r="F211" s="37" t="str">
        <f t="shared" si="6"/>
        <v/>
      </c>
    </row>
    <row r="212" spans="1:6" outlineLevel="1" x14ac:dyDescent="0.35">
      <c r="A212" s="35">
        <v>18</v>
      </c>
      <c r="B212" s="36"/>
      <c r="C212" s="36"/>
      <c r="D212" s="36"/>
      <c r="E212" s="36"/>
      <c r="F212" s="37" t="str">
        <f t="shared" si="6"/>
        <v/>
      </c>
    </row>
    <row r="213" spans="1:6" outlineLevel="1" x14ac:dyDescent="0.35">
      <c r="A213" s="35">
        <v>18</v>
      </c>
      <c r="B213" s="36"/>
      <c r="C213" s="36"/>
      <c r="D213" s="36"/>
      <c r="E213" s="36"/>
      <c r="F213" s="37" t="str">
        <f t="shared" si="6"/>
        <v/>
      </c>
    </row>
    <row r="214" spans="1:6" outlineLevel="1" x14ac:dyDescent="0.35">
      <c r="A214" s="35">
        <v>18</v>
      </c>
      <c r="B214" s="36"/>
      <c r="C214" s="36"/>
      <c r="D214" s="36"/>
      <c r="E214" s="36"/>
      <c r="F214" s="37" t="str">
        <f t="shared" si="6"/>
        <v/>
      </c>
    </row>
    <row r="215" spans="1:6" outlineLevel="1" x14ac:dyDescent="0.35">
      <c r="A215" s="35">
        <v>18</v>
      </c>
      <c r="B215" s="36"/>
      <c r="C215" s="36"/>
      <c r="D215" s="36"/>
      <c r="E215" s="36"/>
      <c r="F215" s="37" t="str">
        <f t="shared" si="6"/>
        <v/>
      </c>
    </row>
    <row r="216" spans="1:6" outlineLevel="1" x14ac:dyDescent="0.35">
      <c r="A216" s="35">
        <v>18</v>
      </c>
      <c r="B216" s="36"/>
      <c r="C216" s="36"/>
      <c r="D216" s="36"/>
      <c r="E216" s="36"/>
      <c r="F216" s="37" t="str">
        <f t="shared" si="6"/>
        <v/>
      </c>
    </row>
    <row r="217" spans="1:6" outlineLevel="1" x14ac:dyDescent="0.35">
      <c r="A217" s="35">
        <v>18</v>
      </c>
      <c r="B217" s="36"/>
      <c r="C217" s="36"/>
      <c r="D217" s="36"/>
      <c r="E217" s="36"/>
      <c r="F217" s="37" t="str">
        <f t="shared" si="6"/>
        <v/>
      </c>
    </row>
    <row r="218" spans="1:6" outlineLevel="1" x14ac:dyDescent="0.35">
      <c r="A218" s="35">
        <v>18</v>
      </c>
      <c r="B218" s="36"/>
      <c r="C218" s="36"/>
      <c r="D218" s="36"/>
      <c r="E218" s="36"/>
      <c r="F218" s="37" t="str">
        <f t="shared" si="6"/>
        <v/>
      </c>
    </row>
    <row r="219" spans="1:6" outlineLevel="1" x14ac:dyDescent="0.35">
      <c r="A219" s="35">
        <v>18</v>
      </c>
      <c r="B219" s="36"/>
      <c r="C219" s="36"/>
      <c r="D219" s="36"/>
      <c r="E219" s="36"/>
      <c r="F219" s="37" t="str">
        <f t="shared" si="6"/>
        <v/>
      </c>
    </row>
    <row r="220" spans="1:6" outlineLevel="1" x14ac:dyDescent="0.35">
      <c r="A220" s="35">
        <v>18</v>
      </c>
      <c r="B220" s="36"/>
      <c r="C220" s="36"/>
      <c r="D220" s="36"/>
      <c r="E220" s="36"/>
      <c r="F220" s="37" t="str">
        <f t="shared" si="6"/>
        <v/>
      </c>
    </row>
    <row r="221" spans="1:6" outlineLevel="1" x14ac:dyDescent="0.35">
      <c r="A221" s="35">
        <v>18</v>
      </c>
      <c r="B221" s="36"/>
      <c r="C221" s="36"/>
      <c r="D221" s="36"/>
      <c r="E221" s="36"/>
      <c r="F221" s="37" t="str">
        <f t="shared" si="6"/>
        <v/>
      </c>
    </row>
    <row r="222" spans="1:6" outlineLevel="1" x14ac:dyDescent="0.35">
      <c r="A222" s="35">
        <v>18</v>
      </c>
      <c r="B222" s="36"/>
      <c r="C222" s="36"/>
      <c r="D222" s="36"/>
      <c r="E222" s="36"/>
      <c r="F222" s="37" t="str">
        <f t="shared" si="6"/>
        <v/>
      </c>
    </row>
    <row r="223" spans="1:6" outlineLevel="1" x14ac:dyDescent="0.35">
      <c r="A223" s="35">
        <v>18</v>
      </c>
      <c r="B223" s="36"/>
      <c r="C223" s="36"/>
      <c r="D223" s="36"/>
      <c r="E223" s="36"/>
      <c r="F223" s="37" t="str">
        <f t="shared" si="6"/>
        <v/>
      </c>
    </row>
    <row r="224" spans="1:6" outlineLevel="1" x14ac:dyDescent="0.35">
      <c r="A224" s="35">
        <v>18</v>
      </c>
      <c r="B224" s="36"/>
      <c r="C224" s="36"/>
      <c r="D224" s="36"/>
      <c r="E224" s="36"/>
      <c r="F224" s="37" t="str">
        <f t="shared" si="6"/>
        <v/>
      </c>
    </row>
    <row r="225" spans="1:6" outlineLevel="1" x14ac:dyDescent="0.35">
      <c r="A225" s="35">
        <v>18</v>
      </c>
      <c r="B225" s="36"/>
      <c r="C225" s="36"/>
      <c r="D225" s="36"/>
      <c r="E225" s="36"/>
      <c r="F225" s="37" t="str">
        <f t="shared" si="6"/>
        <v/>
      </c>
    </row>
    <row r="226" spans="1:6" outlineLevel="1" x14ac:dyDescent="0.35">
      <c r="A226" s="35">
        <v>18</v>
      </c>
      <c r="B226" s="36"/>
      <c r="C226" s="36"/>
      <c r="D226" s="36"/>
      <c r="E226" s="36"/>
      <c r="F226" s="37" t="str">
        <f t="shared" si="6"/>
        <v/>
      </c>
    </row>
    <row r="227" spans="1:6" outlineLevel="1" x14ac:dyDescent="0.35">
      <c r="A227" s="35">
        <v>18</v>
      </c>
      <c r="B227" s="36"/>
      <c r="C227" s="36"/>
      <c r="D227" s="36"/>
      <c r="E227" s="36"/>
      <c r="F227" s="37" t="str">
        <f t="shared" si="6"/>
        <v/>
      </c>
    </row>
    <row r="228" spans="1:6" outlineLevel="1" x14ac:dyDescent="0.35">
      <c r="A228" s="35">
        <v>18</v>
      </c>
      <c r="B228" s="36"/>
      <c r="C228" s="36"/>
      <c r="D228" s="36"/>
      <c r="E228" s="36"/>
      <c r="F228" s="37" t="str">
        <f t="shared" si="6"/>
        <v/>
      </c>
    </row>
    <row r="229" spans="1:6" outlineLevel="1" x14ac:dyDescent="0.35">
      <c r="A229" s="35">
        <v>18</v>
      </c>
      <c r="B229" s="36"/>
      <c r="C229" s="36"/>
      <c r="D229" s="36"/>
      <c r="E229" s="36"/>
      <c r="F229" s="37" t="str">
        <f t="shared" si="6"/>
        <v/>
      </c>
    </row>
    <row r="230" spans="1:6" outlineLevel="1" x14ac:dyDescent="0.35">
      <c r="A230" s="35">
        <v>18</v>
      </c>
      <c r="B230" s="36"/>
      <c r="C230" s="36"/>
      <c r="D230" s="36"/>
      <c r="E230" s="36"/>
      <c r="F230" s="37" t="str">
        <f t="shared" si="6"/>
        <v/>
      </c>
    </row>
    <row r="231" spans="1:6" outlineLevel="1" x14ac:dyDescent="0.35">
      <c r="A231" s="35">
        <v>18</v>
      </c>
      <c r="B231" s="36"/>
      <c r="C231" s="36"/>
      <c r="D231" s="36"/>
      <c r="E231" s="36"/>
      <c r="F231" s="37" t="str">
        <f t="shared" si="6"/>
        <v/>
      </c>
    </row>
    <row r="232" spans="1:6" outlineLevel="1" x14ac:dyDescent="0.35">
      <c r="A232" s="35">
        <v>18</v>
      </c>
      <c r="B232" s="36"/>
      <c r="C232" s="36"/>
      <c r="D232" s="36"/>
      <c r="E232" s="36"/>
      <c r="F232" s="37" t="str">
        <f t="shared" si="6"/>
        <v/>
      </c>
    </row>
    <row r="233" spans="1:6" outlineLevel="1" x14ac:dyDescent="0.35">
      <c r="A233" s="35">
        <v>18</v>
      </c>
      <c r="B233" s="36"/>
      <c r="C233" s="36"/>
      <c r="D233" s="36"/>
      <c r="E233" s="36"/>
      <c r="F233" s="37" t="str">
        <f t="shared" si="6"/>
        <v/>
      </c>
    </row>
    <row r="234" spans="1:6" outlineLevel="1" x14ac:dyDescent="0.35">
      <c r="A234" s="35">
        <v>18</v>
      </c>
      <c r="B234" s="36"/>
      <c r="C234" s="36"/>
      <c r="D234" s="36"/>
      <c r="E234" s="36"/>
      <c r="F234" s="37" t="str">
        <f t="shared" si="6"/>
        <v/>
      </c>
    </row>
    <row r="235" spans="1:6" outlineLevel="1" x14ac:dyDescent="0.35">
      <c r="A235" s="35">
        <v>18</v>
      </c>
      <c r="B235" s="36"/>
      <c r="C235" s="36"/>
      <c r="D235" s="36"/>
      <c r="E235" s="36"/>
      <c r="F235" s="37" t="str">
        <f t="shared" si="6"/>
        <v/>
      </c>
    </row>
    <row r="236" spans="1:6" outlineLevel="1" x14ac:dyDescent="0.35">
      <c r="A236" s="35">
        <v>18</v>
      </c>
      <c r="B236" s="36"/>
      <c r="C236" s="36"/>
      <c r="D236" s="36"/>
      <c r="E236" s="36"/>
      <c r="F236" s="37" t="str">
        <f t="shared" si="6"/>
        <v/>
      </c>
    </row>
    <row r="237" spans="1:6" outlineLevel="1" x14ac:dyDescent="0.35">
      <c r="A237" s="35">
        <v>18</v>
      </c>
      <c r="B237" s="36"/>
      <c r="C237" s="36"/>
      <c r="D237" s="36"/>
      <c r="E237" s="36"/>
      <c r="F237" s="37" t="str">
        <f t="shared" si="6"/>
        <v/>
      </c>
    </row>
    <row r="238" spans="1:6" outlineLevel="1" x14ac:dyDescent="0.35">
      <c r="A238" s="35">
        <v>18</v>
      </c>
      <c r="B238" s="36"/>
      <c r="C238" s="36"/>
      <c r="D238" s="36"/>
      <c r="E238" s="36"/>
      <c r="F238" s="37" t="str">
        <f t="shared" ref="F238:F269" si="7">IF(ROUND(E238/$K$11,2)&gt;0,ROUND(E238/$K$11,2),"")</f>
        <v/>
      </c>
    </row>
    <row r="239" spans="1:6" outlineLevel="1" x14ac:dyDescent="0.35">
      <c r="A239" s="35">
        <v>18</v>
      </c>
      <c r="B239" s="36"/>
      <c r="C239" s="36"/>
      <c r="D239" s="36"/>
      <c r="E239" s="36"/>
      <c r="F239" s="37" t="str">
        <f t="shared" si="7"/>
        <v/>
      </c>
    </row>
    <row r="240" spans="1:6" outlineLevel="1" x14ac:dyDescent="0.35">
      <c r="A240" s="35">
        <v>18</v>
      </c>
      <c r="B240" s="36"/>
      <c r="C240" s="36"/>
      <c r="D240" s="36"/>
      <c r="E240" s="36"/>
      <c r="F240" s="37" t="str">
        <f t="shared" si="7"/>
        <v/>
      </c>
    </row>
    <row r="241" spans="1:6" outlineLevel="1" x14ac:dyDescent="0.35">
      <c r="A241" s="35">
        <v>18</v>
      </c>
      <c r="B241" s="36"/>
      <c r="C241" s="36"/>
      <c r="D241" s="36"/>
      <c r="E241" s="36"/>
      <c r="F241" s="37" t="str">
        <f t="shared" si="7"/>
        <v/>
      </c>
    </row>
    <row r="242" spans="1:6" outlineLevel="1" x14ac:dyDescent="0.35">
      <c r="A242" s="35">
        <v>18</v>
      </c>
      <c r="B242" s="36"/>
      <c r="C242" s="36"/>
      <c r="D242" s="36"/>
      <c r="E242" s="36"/>
      <c r="F242" s="37" t="str">
        <f t="shared" si="7"/>
        <v/>
      </c>
    </row>
    <row r="243" spans="1:6" outlineLevel="1" x14ac:dyDescent="0.35">
      <c r="A243" s="35">
        <v>18</v>
      </c>
      <c r="B243" s="36"/>
      <c r="C243" s="36"/>
      <c r="D243" s="36"/>
      <c r="E243" s="36"/>
      <c r="F243" s="37" t="str">
        <f t="shared" si="7"/>
        <v/>
      </c>
    </row>
    <row r="244" spans="1:6" outlineLevel="1" x14ac:dyDescent="0.35">
      <c r="A244" s="35">
        <v>18</v>
      </c>
      <c r="B244" s="36"/>
      <c r="C244" s="36"/>
      <c r="D244" s="36"/>
      <c r="E244" s="36"/>
      <c r="F244" s="37" t="str">
        <f t="shared" si="7"/>
        <v/>
      </c>
    </row>
    <row r="245" spans="1:6" outlineLevel="1" x14ac:dyDescent="0.35">
      <c r="A245" s="35">
        <v>18</v>
      </c>
      <c r="B245" s="36"/>
      <c r="C245" s="36"/>
      <c r="D245" s="36"/>
      <c r="E245" s="36"/>
      <c r="F245" s="37" t="str">
        <f t="shared" si="7"/>
        <v/>
      </c>
    </row>
    <row r="246" spans="1:6" outlineLevel="1" x14ac:dyDescent="0.35">
      <c r="A246" s="35">
        <v>18</v>
      </c>
      <c r="B246" s="36"/>
      <c r="C246" s="36"/>
      <c r="D246" s="36"/>
      <c r="E246" s="36"/>
      <c r="F246" s="37" t="str">
        <f t="shared" si="7"/>
        <v/>
      </c>
    </row>
    <row r="247" spans="1:6" outlineLevel="1" x14ac:dyDescent="0.35">
      <c r="A247" s="35">
        <v>18</v>
      </c>
      <c r="B247" s="36"/>
      <c r="C247" s="36"/>
      <c r="D247" s="36"/>
      <c r="E247" s="36"/>
      <c r="F247" s="37" t="str">
        <f t="shared" si="7"/>
        <v/>
      </c>
    </row>
    <row r="248" spans="1:6" outlineLevel="1" x14ac:dyDescent="0.35">
      <c r="A248" s="35">
        <v>18</v>
      </c>
      <c r="B248" s="36"/>
      <c r="C248" s="36"/>
      <c r="D248" s="36"/>
      <c r="E248" s="36"/>
      <c r="F248" s="37" t="str">
        <f t="shared" si="7"/>
        <v/>
      </c>
    </row>
    <row r="249" spans="1:6" outlineLevel="1" x14ac:dyDescent="0.35">
      <c r="A249" s="35">
        <v>18</v>
      </c>
      <c r="B249" s="36"/>
      <c r="C249" s="36"/>
      <c r="D249" s="36"/>
      <c r="E249" s="36"/>
      <c r="F249" s="37" t="str">
        <f t="shared" si="7"/>
        <v/>
      </c>
    </row>
    <row r="250" spans="1:6" outlineLevel="1" x14ac:dyDescent="0.35">
      <c r="A250" s="35">
        <v>18</v>
      </c>
      <c r="B250" s="36"/>
      <c r="C250" s="36"/>
      <c r="D250" s="36"/>
      <c r="E250" s="36"/>
      <c r="F250" s="37" t="str">
        <f t="shared" si="7"/>
        <v/>
      </c>
    </row>
    <row r="251" spans="1:6" outlineLevel="1" x14ac:dyDescent="0.35">
      <c r="A251" s="35">
        <v>18</v>
      </c>
      <c r="B251" s="36"/>
      <c r="C251" s="36"/>
      <c r="D251" s="36"/>
      <c r="E251" s="36"/>
      <c r="F251" s="37" t="str">
        <f t="shared" si="7"/>
        <v/>
      </c>
    </row>
    <row r="252" spans="1:6" outlineLevel="1" x14ac:dyDescent="0.35">
      <c r="A252" s="35">
        <v>18</v>
      </c>
      <c r="B252" s="36"/>
      <c r="C252" s="36"/>
      <c r="D252" s="36"/>
      <c r="E252" s="36"/>
      <c r="F252" s="37" t="str">
        <f t="shared" si="7"/>
        <v/>
      </c>
    </row>
    <row r="253" spans="1:6" outlineLevel="1" x14ac:dyDescent="0.35">
      <c r="A253" s="35">
        <v>18</v>
      </c>
      <c r="B253" s="36"/>
      <c r="C253" s="36"/>
      <c r="D253" s="36"/>
      <c r="E253" s="36"/>
      <c r="F253" s="37" t="str">
        <f t="shared" si="7"/>
        <v/>
      </c>
    </row>
    <row r="254" spans="1:6" outlineLevel="1" x14ac:dyDescent="0.35">
      <c r="A254" s="35">
        <v>18</v>
      </c>
      <c r="B254" s="36"/>
      <c r="C254" s="36"/>
      <c r="D254" s="36"/>
      <c r="E254" s="36"/>
      <c r="F254" s="37" t="str">
        <f t="shared" si="7"/>
        <v/>
      </c>
    </row>
    <row r="255" spans="1:6" outlineLevel="1" x14ac:dyDescent="0.35">
      <c r="A255" s="35">
        <v>18</v>
      </c>
      <c r="B255" s="36"/>
      <c r="C255" s="36"/>
      <c r="D255" s="36"/>
      <c r="E255" s="36"/>
      <c r="F255" s="37" t="str">
        <f t="shared" si="7"/>
        <v/>
      </c>
    </row>
    <row r="256" spans="1:6" outlineLevel="1" x14ac:dyDescent="0.35">
      <c r="A256" s="35">
        <v>18</v>
      </c>
      <c r="B256" s="36"/>
      <c r="C256" s="36"/>
      <c r="D256" s="36"/>
      <c r="E256" s="36"/>
      <c r="F256" s="37" t="str">
        <f t="shared" si="7"/>
        <v/>
      </c>
    </row>
    <row r="257" spans="1:6" outlineLevel="1" x14ac:dyDescent="0.35">
      <c r="A257" s="35">
        <v>18</v>
      </c>
      <c r="B257" s="36"/>
      <c r="C257" s="36"/>
      <c r="D257" s="36"/>
      <c r="E257" s="36"/>
      <c r="F257" s="37" t="str">
        <f t="shared" si="7"/>
        <v/>
      </c>
    </row>
    <row r="258" spans="1:6" outlineLevel="1" x14ac:dyDescent="0.35">
      <c r="A258" s="35">
        <v>18</v>
      </c>
      <c r="B258" s="36"/>
      <c r="C258" s="36"/>
      <c r="D258" s="36"/>
      <c r="E258" s="36"/>
      <c r="F258" s="37" t="str">
        <f t="shared" si="7"/>
        <v/>
      </c>
    </row>
    <row r="259" spans="1:6" outlineLevel="1" x14ac:dyDescent="0.35">
      <c r="A259" s="35">
        <v>18</v>
      </c>
      <c r="B259" s="36"/>
      <c r="C259" s="36"/>
      <c r="D259" s="36"/>
      <c r="E259" s="36"/>
      <c r="F259" s="37" t="str">
        <f t="shared" si="7"/>
        <v/>
      </c>
    </row>
    <row r="260" spans="1:6" outlineLevel="1" x14ac:dyDescent="0.35">
      <c r="A260" s="35">
        <v>18</v>
      </c>
      <c r="B260" s="36"/>
      <c r="C260" s="36"/>
      <c r="D260" s="36"/>
      <c r="E260" s="36"/>
      <c r="F260" s="37" t="str">
        <f t="shared" si="7"/>
        <v/>
      </c>
    </row>
    <row r="261" spans="1:6" outlineLevel="1" x14ac:dyDescent="0.35">
      <c r="A261" s="35">
        <v>18</v>
      </c>
      <c r="B261" s="36"/>
      <c r="C261" s="36"/>
      <c r="D261" s="36"/>
      <c r="E261" s="36"/>
      <c r="F261" s="37" t="str">
        <f t="shared" si="7"/>
        <v/>
      </c>
    </row>
    <row r="262" spans="1:6" outlineLevel="1" x14ac:dyDescent="0.35">
      <c r="A262" s="35">
        <v>18</v>
      </c>
      <c r="B262" s="36"/>
      <c r="C262" s="36"/>
      <c r="D262" s="36"/>
      <c r="E262" s="36"/>
      <c r="F262" s="37" t="str">
        <f t="shared" si="7"/>
        <v/>
      </c>
    </row>
    <row r="263" spans="1:6" outlineLevel="1" x14ac:dyDescent="0.35">
      <c r="A263" s="35">
        <v>18</v>
      </c>
      <c r="B263" s="36"/>
      <c r="C263" s="36"/>
      <c r="D263" s="36"/>
      <c r="E263" s="36"/>
      <c r="F263" s="37" t="str">
        <f t="shared" si="7"/>
        <v/>
      </c>
    </row>
    <row r="264" spans="1:6" outlineLevel="1" x14ac:dyDescent="0.35">
      <c r="A264" s="35">
        <v>18</v>
      </c>
      <c r="B264" s="36"/>
      <c r="C264" s="36"/>
      <c r="D264" s="36"/>
      <c r="E264" s="36"/>
      <c r="F264" s="37" t="str">
        <f t="shared" si="7"/>
        <v/>
      </c>
    </row>
    <row r="265" spans="1:6" outlineLevel="1" x14ac:dyDescent="0.35">
      <c r="A265" s="35">
        <v>18</v>
      </c>
      <c r="B265" s="36"/>
      <c r="C265" s="36"/>
      <c r="D265" s="36"/>
      <c r="E265" s="36"/>
      <c r="F265" s="37" t="str">
        <f t="shared" si="7"/>
        <v/>
      </c>
    </row>
    <row r="266" spans="1:6" x14ac:dyDescent="0.35">
      <c r="A266" s="38"/>
      <c r="B266" s="38"/>
      <c r="C266" s="39" t="s">
        <v>736</v>
      </c>
      <c r="D266" s="38"/>
      <c r="E266" s="38"/>
      <c r="F266" s="37"/>
    </row>
    <row r="267" spans="1:6" outlineLevel="1" x14ac:dyDescent="0.35">
      <c r="A267" s="35">
        <v>18</v>
      </c>
      <c r="B267" s="36"/>
      <c r="C267" s="36"/>
      <c r="D267" s="36"/>
      <c r="E267" s="36"/>
      <c r="F267" s="37" t="str">
        <f t="shared" ref="F267:F298" si="8">IF(ROUND(E267/$K$11,2)&gt;0,ROUND(E267/$K$11,2),"")</f>
        <v/>
      </c>
    </row>
    <row r="268" spans="1:6" outlineLevel="1" x14ac:dyDescent="0.35">
      <c r="A268" s="35">
        <v>18</v>
      </c>
      <c r="B268" s="36"/>
      <c r="C268" s="36"/>
      <c r="D268" s="36"/>
      <c r="E268" s="36"/>
      <c r="F268" s="37" t="str">
        <f t="shared" si="8"/>
        <v/>
      </c>
    </row>
    <row r="269" spans="1:6" outlineLevel="1" x14ac:dyDescent="0.35">
      <c r="A269" s="35">
        <v>18</v>
      </c>
      <c r="B269" s="36"/>
      <c r="C269" s="36"/>
      <c r="D269" s="36"/>
      <c r="E269" s="36"/>
      <c r="F269" s="37" t="str">
        <f t="shared" si="8"/>
        <v/>
      </c>
    </row>
    <row r="270" spans="1:6" outlineLevel="1" x14ac:dyDescent="0.35">
      <c r="A270" s="35">
        <v>18</v>
      </c>
      <c r="B270" s="36"/>
      <c r="C270" s="36"/>
      <c r="D270" s="36"/>
      <c r="E270" s="36"/>
      <c r="F270" s="37" t="str">
        <f t="shared" si="8"/>
        <v/>
      </c>
    </row>
    <row r="271" spans="1:6" outlineLevel="1" x14ac:dyDescent="0.35">
      <c r="A271" s="35">
        <v>18</v>
      </c>
      <c r="B271" s="36"/>
      <c r="C271" s="36"/>
      <c r="D271" s="36"/>
      <c r="E271" s="36"/>
      <c r="F271" s="37" t="str">
        <f t="shared" si="8"/>
        <v/>
      </c>
    </row>
    <row r="272" spans="1:6" outlineLevel="1" x14ac:dyDescent="0.35">
      <c r="A272" s="35">
        <v>18</v>
      </c>
      <c r="B272" s="36"/>
      <c r="C272" s="36"/>
      <c r="D272" s="36"/>
      <c r="E272" s="36"/>
      <c r="F272" s="37" t="str">
        <f t="shared" si="8"/>
        <v/>
      </c>
    </row>
    <row r="273" spans="1:6" outlineLevel="1" x14ac:dyDescent="0.35">
      <c r="A273" s="35">
        <v>18</v>
      </c>
      <c r="B273" s="36"/>
      <c r="C273" s="36"/>
      <c r="D273" s="36"/>
      <c r="E273" s="36"/>
      <c r="F273" s="37" t="str">
        <f t="shared" si="8"/>
        <v/>
      </c>
    </row>
    <row r="274" spans="1:6" outlineLevel="1" x14ac:dyDescent="0.35">
      <c r="A274" s="35">
        <v>18</v>
      </c>
      <c r="B274" s="36"/>
      <c r="C274" s="36"/>
      <c r="D274" s="36"/>
      <c r="E274" s="36"/>
      <c r="F274" s="37" t="str">
        <f t="shared" si="8"/>
        <v/>
      </c>
    </row>
    <row r="275" spans="1:6" outlineLevel="1" x14ac:dyDescent="0.35">
      <c r="A275" s="35">
        <v>18</v>
      </c>
      <c r="B275" s="36"/>
      <c r="C275" s="36"/>
      <c r="D275" s="36"/>
      <c r="E275" s="36"/>
      <c r="F275" s="37" t="str">
        <f t="shared" si="8"/>
        <v/>
      </c>
    </row>
    <row r="276" spans="1:6" outlineLevel="1" x14ac:dyDescent="0.35">
      <c r="A276" s="35">
        <v>18</v>
      </c>
      <c r="B276" s="36"/>
      <c r="C276" s="36"/>
      <c r="D276" s="36"/>
      <c r="E276" s="36"/>
      <c r="F276" s="37" t="str">
        <f t="shared" si="8"/>
        <v/>
      </c>
    </row>
    <row r="277" spans="1:6" outlineLevel="1" x14ac:dyDescent="0.35">
      <c r="A277" s="35">
        <v>18</v>
      </c>
      <c r="B277" s="36"/>
      <c r="C277" s="36"/>
      <c r="D277" s="36"/>
      <c r="E277" s="36"/>
      <c r="F277" s="37" t="str">
        <f t="shared" si="8"/>
        <v/>
      </c>
    </row>
    <row r="278" spans="1:6" outlineLevel="1" x14ac:dyDescent="0.35">
      <c r="A278" s="35">
        <v>18</v>
      </c>
      <c r="B278" s="36"/>
      <c r="C278" s="36"/>
      <c r="D278" s="36"/>
      <c r="E278" s="36"/>
      <c r="F278" s="37" t="str">
        <f t="shared" si="8"/>
        <v/>
      </c>
    </row>
    <row r="279" spans="1:6" outlineLevel="1" x14ac:dyDescent="0.35">
      <c r="A279" s="35">
        <v>18</v>
      </c>
      <c r="B279" s="36"/>
      <c r="C279" s="36"/>
      <c r="D279" s="36"/>
      <c r="E279" s="36"/>
      <c r="F279" s="37" t="str">
        <f t="shared" si="8"/>
        <v/>
      </c>
    </row>
    <row r="280" spans="1:6" outlineLevel="1" x14ac:dyDescent="0.35">
      <c r="A280" s="35">
        <v>18</v>
      </c>
      <c r="B280" s="36"/>
      <c r="C280" s="36"/>
      <c r="D280" s="36"/>
      <c r="E280" s="36"/>
      <c r="F280" s="37" t="str">
        <f t="shared" si="8"/>
        <v/>
      </c>
    </row>
    <row r="281" spans="1:6" outlineLevel="1" x14ac:dyDescent="0.35">
      <c r="A281" s="35">
        <v>18</v>
      </c>
      <c r="B281" s="36"/>
      <c r="C281" s="36"/>
      <c r="D281" s="36"/>
      <c r="E281" s="36"/>
      <c r="F281" s="37" t="str">
        <f t="shared" si="8"/>
        <v/>
      </c>
    </row>
    <row r="282" spans="1:6" outlineLevel="1" x14ac:dyDescent="0.35">
      <c r="A282" s="35">
        <v>18</v>
      </c>
      <c r="B282" s="36"/>
      <c r="C282" s="36"/>
      <c r="D282" s="36"/>
      <c r="E282" s="36"/>
      <c r="F282" s="37" t="str">
        <f t="shared" si="8"/>
        <v/>
      </c>
    </row>
    <row r="283" spans="1:6" outlineLevel="1" x14ac:dyDescent="0.35">
      <c r="A283" s="35">
        <v>18</v>
      </c>
      <c r="B283" s="36"/>
      <c r="C283" s="36"/>
      <c r="D283" s="36"/>
      <c r="E283" s="36"/>
      <c r="F283" s="37" t="str">
        <f t="shared" si="8"/>
        <v/>
      </c>
    </row>
    <row r="284" spans="1:6" outlineLevel="1" x14ac:dyDescent="0.35">
      <c r="A284" s="35">
        <v>18</v>
      </c>
      <c r="B284" s="36"/>
      <c r="C284" s="36"/>
      <c r="D284" s="36"/>
      <c r="E284" s="36"/>
      <c r="F284" s="37" t="str">
        <f t="shared" si="8"/>
        <v/>
      </c>
    </row>
    <row r="285" spans="1:6" outlineLevel="1" x14ac:dyDescent="0.35">
      <c r="A285" s="35">
        <v>18</v>
      </c>
      <c r="B285" s="36"/>
      <c r="C285" s="36"/>
      <c r="D285" s="36"/>
      <c r="E285" s="36"/>
      <c r="F285" s="37" t="str">
        <f t="shared" si="8"/>
        <v/>
      </c>
    </row>
    <row r="286" spans="1:6" outlineLevel="1" x14ac:dyDescent="0.35">
      <c r="A286" s="35">
        <v>18</v>
      </c>
      <c r="B286" s="36"/>
      <c r="C286" s="36"/>
      <c r="D286" s="36"/>
      <c r="E286" s="36"/>
      <c r="F286" s="37" t="str">
        <f t="shared" si="8"/>
        <v/>
      </c>
    </row>
    <row r="287" spans="1:6" outlineLevel="1" x14ac:dyDescent="0.35">
      <c r="A287" s="35">
        <v>18</v>
      </c>
      <c r="B287" s="36"/>
      <c r="C287" s="36"/>
      <c r="D287" s="36"/>
      <c r="E287" s="36"/>
      <c r="F287" s="37" t="str">
        <f t="shared" si="8"/>
        <v/>
      </c>
    </row>
    <row r="288" spans="1:6" outlineLevel="1" x14ac:dyDescent="0.35">
      <c r="A288" s="35">
        <v>18</v>
      </c>
      <c r="B288" s="36"/>
      <c r="C288" s="36"/>
      <c r="D288" s="36"/>
      <c r="E288" s="36"/>
      <c r="F288" s="37" t="str">
        <f t="shared" si="8"/>
        <v/>
      </c>
    </row>
    <row r="289" spans="1:6" outlineLevel="1" x14ac:dyDescent="0.35">
      <c r="A289" s="35">
        <v>18</v>
      </c>
      <c r="B289" s="36"/>
      <c r="C289" s="36"/>
      <c r="D289" s="36"/>
      <c r="E289" s="36"/>
      <c r="F289" s="37" t="str">
        <f t="shared" si="8"/>
        <v/>
      </c>
    </row>
    <row r="290" spans="1:6" outlineLevel="1" x14ac:dyDescent="0.35">
      <c r="A290" s="35">
        <v>18</v>
      </c>
      <c r="B290" s="36"/>
      <c r="C290" s="36"/>
      <c r="D290" s="36"/>
      <c r="E290" s="36"/>
      <c r="F290" s="37" t="str">
        <f t="shared" si="8"/>
        <v/>
      </c>
    </row>
    <row r="291" spans="1:6" outlineLevel="1" x14ac:dyDescent="0.35">
      <c r="A291" s="35">
        <v>18</v>
      </c>
      <c r="B291" s="36"/>
      <c r="C291" s="36"/>
      <c r="D291" s="36"/>
      <c r="E291" s="36"/>
      <c r="F291" s="37" t="str">
        <f t="shared" si="8"/>
        <v/>
      </c>
    </row>
    <row r="292" spans="1:6" outlineLevel="1" x14ac:dyDescent="0.35">
      <c r="A292" s="35">
        <v>18</v>
      </c>
      <c r="B292" s="36"/>
      <c r="C292" s="36"/>
      <c r="D292" s="36"/>
      <c r="E292" s="36"/>
      <c r="F292" s="37" t="str">
        <f t="shared" si="8"/>
        <v/>
      </c>
    </row>
    <row r="293" spans="1:6" outlineLevel="1" x14ac:dyDescent="0.35">
      <c r="A293" s="35">
        <v>18</v>
      </c>
      <c r="B293" s="36"/>
      <c r="C293" s="36"/>
      <c r="D293" s="36"/>
      <c r="E293" s="36"/>
      <c r="F293" s="37" t="str">
        <f t="shared" si="8"/>
        <v/>
      </c>
    </row>
    <row r="294" spans="1:6" outlineLevel="1" x14ac:dyDescent="0.35">
      <c r="A294" s="35">
        <v>18</v>
      </c>
      <c r="B294" s="36"/>
      <c r="C294" s="36"/>
      <c r="D294" s="36"/>
      <c r="E294" s="36"/>
      <c r="F294" s="37" t="str">
        <f t="shared" si="8"/>
        <v/>
      </c>
    </row>
    <row r="295" spans="1:6" outlineLevel="1" x14ac:dyDescent="0.35">
      <c r="A295" s="35">
        <v>18</v>
      </c>
      <c r="B295" s="36"/>
      <c r="C295" s="36"/>
      <c r="D295" s="36"/>
      <c r="E295" s="36"/>
      <c r="F295" s="37" t="str">
        <f t="shared" si="8"/>
        <v/>
      </c>
    </row>
    <row r="296" spans="1:6" outlineLevel="1" x14ac:dyDescent="0.35">
      <c r="A296" s="35">
        <v>18</v>
      </c>
      <c r="B296" s="36"/>
      <c r="C296" s="36"/>
      <c r="D296" s="36"/>
      <c r="E296" s="36"/>
      <c r="F296" s="37" t="str">
        <f t="shared" si="8"/>
        <v/>
      </c>
    </row>
    <row r="297" spans="1:6" outlineLevel="1" x14ac:dyDescent="0.35">
      <c r="A297" s="35">
        <v>18</v>
      </c>
      <c r="B297" s="36"/>
      <c r="C297" s="36"/>
      <c r="D297" s="36"/>
      <c r="E297" s="36"/>
      <c r="F297" s="37" t="str">
        <f t="shared" si="8"/>
        <v/>
      </c>
    </row>
    <row r="298" spans="1:6" outlineLevel="1" x14ac:dyDescent="0.35">
      <c r="A298" s="35">
        <v>18</v>
      </c>
      <c r="B298" s="36"/>
      <c r="C298" s="36"/>
      <c r="D298" s="36"/>
      <c r="E298" s="36"/>
      <c r="F298" s="37" t="str">
        <f t="shared" si="8"/>
        <v/>
      </c>
    </row>
    <row r="299" spans="1:6" outlineLevel="1" x14ac:dyDescent="0.35">
      <c r="A299" s="35">
        <v>18</v>
      </c>
      <c r="B299" s="36"/>
      <c r="C299" s="36"/>
      <c r="D299" s="36"/>
      <c r="E299" s="36"/>
      <c r="F299" s="37" t="str">
        <f t="shared" ref="F299:F330" si="9">IF(ROUND(E299/$K$11,2)&gt;0,ROUND(E299/$K$11,2),"")</f>
        <v/>
      </c>
    </row>
    <row r="300" spans="1:6" outlineLevel="1" x14ac:dyDescent="0.35">
      <c r="A300" s="35">
        <v>18</v>
      </c>
      <c r="B300" s="36"/>
      <c r="C300" s="36"/>
      <c r="D300" s="36"/>
      <c r="E300" s="36"/>
      <c r="F300" s="37" t="str">
        <f t="shared" si="9"/>
        <v/>
      </c>
    </row>
    <row r="301" spans="1:6" outlineLevel="1" x14ac:dyDescent="0.35">
      <c r="A301" s="35">
        <v>18</v>
      </c>
      <c r="B301" s="36"/>
      <c r="C301" s="36"/>
      <c r="D301" s="36"/>
      <c r="E301" s="36"/>
      <c r="F301" s="37" t="str">
        <f t="shared" si="9"/>
        <v/>
      </c>
    </row>
    <row r="302" spans="1:6" outlineLevel="1" x14ac:dyDescent="0.35">
      <c r="A302" s="35">
        <v>18</v>
      </c>
      <c r="B302" s="36"/>
      <c r="C302" s="36"/>
      <c r="D302" s="36"/>
      <c r="E302" s="36"/>
      <c r="F302" s="37" t="str">
        <f t="shared" si="9"/>
        <v/>
      </c>
    </row>
    <row r="303" spans="1:6" outlineLevel="1" x14ac:dyDescent="0.35">
      <c r="A303" s="35">
        <v>18</v>
      </c>
      <c r="B303" s="36"/>
      <c r="C303" s="36"/>
      <c r="D303" s="36"/>
      <c r="E303" s="36"/>
      <c r="F303" s="37" t="str">
        <f t="shared" si="9"/>
        <v/>
      </c>
    </row>
    <row r="304" spans="1:6" outlineLevel="1" x14ac:dyDescent="0.35">
      <c r="A304" s="35">
        <v>18</v>
      </c>
      <c r="B304" s="36"/>
      <c r="C304" s="36"/>
      <c r="D304" s="36"/>
      <c r="E304" s="36"/>
      <c r="F304" s="37" t="str">
        <f t="shared" si="9"/>
        <v/>
      </c>
    </row>
    <row r="305" spans="1:6" outlineLevel="1" x14ac:dyDescent="0.35">
      <c r="A305" s="35">
        <v>18</v>
      </c>
      <c r="B305" s="36"/>
      <c r="C305" s="36"/>
      <c r="D305" s="36"/>
      <c r="E305" s="36"/>
      <c r="F305" s="37" t="str">
        <f t="shared" si="9"/>
        <v/>
      </c>
    </row>
    <row r="306" spans="1:6" outlineLevel="1" x14ac:dyDescent="0.35">
      <c r="A306" s="35">
        <v>18</v>
      </c>
      <c r="B306" s="36"/>
      <c r="C306" s="36"/>
      <c r="D306" s="36"/>
      <c r="E306" s="36"/>
      <c r="F306" s="37" t="str">
        <f t="shared" si="9"/>
        <v/>
      </c>
    </row>
    <row r="307" spans="1:6" outlineLevel="1" x14ac:dyDescent="0.35">
      <c r="A307" s="35">
        <v>18</v>
      </c>
      <c r="B307" s="36"/>
      <c r="C307" s="36"/>
      <c r="D307" s="36"/>
      <c r="E307" s="36"/>
      <c r="F307" s="37" t="str">
        <f t="shared" si="9"/>
        <v/>
      </c>
    </row>
    <row r="308" spans="1:6" outlineLevel="1" x14ac:dyDescent="0.35">
      <c r="A308" s="35">
        <v>18</v>
      </c>
      <c r="B308" s="36"/>
      <c r="C308" s="36"/>
      <c r="D308" s="36"/>
      <c r="E308" s="36"/>
      <c r="F308" s="37" t="str">
        <f t="shared" si="9"/>
        <v/>
      </c>
    </row>
    <row r="309" spans="1:6" outlineLevel="1" x14ac:dyDescent="0.35">
      <c r="A309" s="35">
        <v>18</v>
      </c>
      <c r="B309" s="36"/>
      <c r="C309" s="36"/>
      <c r="D309" s="36"/>
      <c r="E309" s="36"/>
      <c r="F309" s="37" t="str">
        <f t="shared" si="9"/>
        <v/>
      </c>
    </row>
    <row r="310" spans="1:6" outlineLevel="1" x14ac:dyDescent="0.35">
      <c r="A310" s="35">
        <v>18</v>
      </c>
      <c r="B310" s="36"/>
      <c r="C310" s="36"/>
      <c r="D310" s="36"/>
      <c r="E310" s="36"/>
      <c r="F310" s="37" t="str">
        <f t="shared" si="9"/>
        <v/>
      </c>
    </row>
    <row r="311" spans="1:6" outlineLevel="1" x14ac:dyDescent="0.35">
      <c r="A311" s="35">
        <v>18</v>
      </c>
      <c r="B311" s="36"/>
      <c r="C311" s="36"/>
      <c r="D311" s="36"/>
      <c r="E311" s="36"/>
      <c r="F311" s="37" t="str">
        <f t="shared" si="9"/>
        <v/>
      </c>
    </row>
    <row r="312" spans="1:6" outlineLevel="1" x14ac:dyDescent="0.35">
      <c r="A312" s="35">
        <v>18</v>
      </c>
      <c r="B312" s="36"/>
      <c r="C312" s="36"/>
      <c r="D312" s="36"/>
      <c r="E312" s="36"/>
      <c r="F312" s="37" t="str">
        <f t="shared" si="9"/>
        <v/>
      </c>
    </row>
    <row r="313" spans="1:6" outlineLevel="1" x14ac:dyDescent="0.35">
      <c r="A313" s="35">
        <v>18</v>
      </c>
      <c r="B313" s="36"/>
      <c r="C313" s="36"/>
      <c r="D313" s="36"/>
      <c r="E313" s="36"/>
      <c r="F313" s="37" t="str">
        <f t="shared" si="9"/>
        <v/>
      </c>
    </row>
    <row r="314" spans="1:6" outlineLevel="1" x14ac:dyDescent="0.35">
      <c r="A314" s="35">
        <v>18</v>
      </c>
      <c r="B314" s="36"/>
      <c r="C314" s="36"/>
      <c r="D314" s="36"/>
      <c r="E314" s="36"/>
      <c r="F314" s="37" t="str">
        <f t="shared" si="9"/>
        <v/>
      </c>
    </row>
    <row r="315" spans="1:6" outlineLevel="1" x14ac:dyDescent="0.35">
      <c r="A315" s="35">
        <v>18</v>
      </c>
      <c r="B315" s="36"/>
      <c r="C315" s="36"/>
      <c r="D315" s="36"/>
      <c r="E315" s="36"/>
      <c r="F315" s="37" t="str">
        <f t="shared" si="9"/>
        <v/>
      </c>
    </row>
    <row r="316" spans="1:6" outlineLevel="1" x14ac:dyDescent="0.35">
      <c r="A316" s="35">
        <v>18</v>
      </c>
      <c r="B316" s="36"/>
      <c r="C316" s="36"/>
      <c r="D316" s="36"/>
      <c r="E316" s="36"/>
      <c r="F316" s="37" t="str">
        <f t="shared" si="9"/>
        <v/>
      </c>
    </row>
    <row r="317" spans="1:6" outlineLevel="1" x14ac:dyDescent="0.35">
      <c r="A317" s="35">
        <v>18</v>
      </c>
      <c r="B317" s="36"/>
      <c r="C317" s="36"/>
      <c r="D317" s="36"/>
      <c r="E317" s="36"/>
      <c r="F317" s="37" t="str">
        <f t="shared" si="9"/>
        <v/>
      </c>
    </row>
    <row r="318" spans="1:6" outlineLevel="1" x14ac:dyDescent="0.35">
      <c r="A318" s="35">
        <v>18</v>
      </c>
      <c r="B318" s="36"/>
      <c r="C318" s="36"/>
      <c r="D318" s="36"/>
      <c r="E318" s="36"/>
      <c r="F318" s="37" t="str">
        <f t="shared" si="9"/>
        <v/>
      </c>
    </row>
    <row r="319" spans="1:6" outlineLevel="1" x14ac:dyDescent="0.35">
      <c r="A319" s="35">
        <v>18</v>
      </c>
      <c r="B319" s="36"/>
      <c r="C319" s="36"/>
      <c r="D319" s="36"/>
      <c r="E319" s="36"/>
      <c r="F319" s="37" t="str">
        <f t="shared" si="9"/>
        <v/>
      </c>
    </row>
    <row r="320" spans="1:6" outlineLevel="1" x14ac:dyDescent="0.35">
      <c r="A320" s="35">
        <v>18</v>
      </c>
      <c r="B320" s="36"/>
      <c r="C320" s="36"/>
      <c r="D320" s="36"/>
      <c r="E320" s="36"/>
      <c r="F320" s="37" t="str">
        <f t="shared" si="9"/>
        <v/>
      </c>
    </row>
    <row r="321" spans="1:6" outlineLevel="1" x14ac:dyDescent="0.35">
      <c r="A321" s="35">
        <v>18</v>
      </c>
      <c r="B321" s="36"/>
      <c r="C321" s="36"/>
      <c r="D321" s="36"/>
      <c r="E321" s="36"/>
      <c r="F321" s="37" t="str">
        <f t="shared" si="9"/>
        <v/>
      </c>
    </row>
    <row r="322" spans="1:6" outlineLevel="1" x14ac:dyDescent="0.35">
      <c r="A322" s="35">
        <v>18</v>
      </c>
      <c r="B322" s="36"/>
      <c r="C322" s="36"/>
      <c r="D322" s="36"/>
      <c r="E322" s="36"/>
      <c r="F322" s="37" t="str">
        <f t="shared" si="9"/>
        <v/>
      </c>
    </row>
    <row r="323" spans="1:6" outlineLevel="1" x14ac:dyDescent="0.35">
      <c r="A323" s="35">
        <v>18</v>
      </c>
      <c r="B323" s="36"/>
      <c r="C323" s="36"/>
      <c r="D323" s="36"/>
      <c r="E323" s="36"/>
      <c r="F323" s="37" t="str">
        <f t="shared" si="9"/>
        <v/>
      </c>
    </row>
    <row r="324" spans="1:6" outlineLevel="1" x14ac:dyDescent="0.35">
      <c r="A324" s="35">
        <v>18</v>
      </c>
      <c r="B324" s="36"/>
      <c r="C324" s="36"/>
      <c r="D324" s="36"/>
      <c r="E324" s="36"/>
      <c r="F324" s="37" t="str">
        <f t="shared" si="9"/>
        <v/>
      </c>
    </row>
    <row r="325" spans="1:6" outlineLevel="1" x14ac:dyDescent="0.35">
      <c r="A325" s="35">
        <v>18</v>
      </c>
      <c r="B325" s="36"/>
      <c r="C325" s="36"/>
      <c r="D325" s="36"/>
      <c r="E325" s="36"/>
      <c r="F325" s="37" t="str">
        <f t="shared" si="9"/>
        <v/>
      </c>
    </row>
    <row r="326" spans="1:6" outlineLevel="1" x14ac:dyDescent="0.35">
      <c r="A326" s="35">
        <v>18</v>
      </c>
      <c r="B326" s="36"/>
      <c r="C326" s="36"/>
      <c r="D326" s="36"/>
      <c r="E326" s="36"/>
      <c r="F326" s="37" t="str">
        <f t="shared" si="9"/>
        <v/>
      </c>
    </row>
    <row r="327" spans="1:6" x14ac:dyDescent="0.35">
      <c r="A327" s="38"/>
      <c r="B327" s="38"/>
      <c r="C327" s="38"/>
      <c r="D327" s="38"/>
      <c r="E327" s="38"/>
      <c r="F327" s="37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546875" defaultRowHeight="14.4" x14ac:dyDescent="0.3"/>
  <cols>
    <col min="1" max="1" width="8.6640625" customWidth="1"/>
    <col min="2" max="2" width="36.44140625" customWidth="1"/>
    <col min="3" max="3" width="33.6640625" customWidth="1"/>
    <col min="4" max="4" width="33.109375" style="10" customWidth="1"/>
    <col min="5" max="5" width="50.6640625" customWidth="1"/>
    <col min="6" max="9" width="11" customWidth="1"/>
  </cols>
  <sheetData>
    <row r="1" spans="1:7" s="10" customFormat="1" x14ac:dyDescent="0.3"/>
    <row r="2" spans="1:7" ht="28.8" x14ac:dyDescent="0.3">
      <c r="A2" s="40" t="s">
        <v>0</v>
      </c>
      <c r="B2" s="40" t="s">
        <v>737</v>
      </c>
      <c r="C2" s="40" t="s">
        <v>738</v>
      </c>
      <c r="D2" s="41" t="s">
        <v>739</v>
      </c>
      <c r="E2" s="40" t="s">
        <v>740</v>
      </c>
    </row>
    <row r="3" spans="1:7" s="10" customFormat="1" ht="30" hidden="1" customHeight="1" x14ac:dyDescent="0.3">
      <c r="A3" s="42">
        <v>6</v>
      </c>
      <c r="B3" s="2" t="s">
        <v>741</v>
      </c>
      <c r="C3" s="43" t="s">
        <v>742</v>
      </c>
      <c r="D3" s="1" t="s">
        <v>743</v>
      </c>
      <c r="E3" s="1" t="s">
        <v>741</v>
      </c>
    </row>
    <row r="4" spans="1:7" s="10" customFormat="1" hidden="1" x14ac:dyDescent="0.3">
      <c r="A4" s="42">
        <v>6</v>
      </c>
      <c r="B4" s="2"/>
      <c r="C4" s="43" t="s">
        <v>23</v>
      </c>
      <c r="D4" s="1"/>
      <c r="E4" s="1"/>
    </row>
    <row r="5" spans="1:7" s="10" customFormat="1" ht="28.8" hidden="1" x14ac:dyDescent="0.3">
      <c r="A5" s="42">
        <v>6</v>
      </c>
      <c r="B5" s="2"/>
      <c r="C5" s="43" t="s">
        <v>744</v>
      </c>
      <c r="D5" s="1"/>
      <c r="E5" s="1"/>
    </row>
    <row r="6" spans="1:7" s="10" customFormat="1" ht="28.8" hidden="1" x14ac:dyDescent="0.3">
      <c r="A6" s="42">
        <v>6</v>
      </c>
      <c r="B6" s="2"/>
      <c r="C6" s="43" t="s">
        <v>745</v>
      </c>
      <c r="D6" s="1"/>
      <c r="E6" s="1"/>
    </row>
    <row r="7" spans="1:7" s="10" customFormat="1" ht="90" hidden="1" customHeight="1" x14ac:dyDescent="0.3">
      <c r="A7" s="45">
        <v>7</v>
      </c>
      <c r="B7" s="1" t="s">
        <v>746</v>
      </c>
      <c r="C7" s="43" t="s">
        <v>747</v>
      </c>
      <c r="D7" s="1" t="s">
        <v>748</v>
      </c>
      <c r="E7" s="1" t="s">
        <v>749</v>
      </c>
    </row>
    <row r="8" spans="1:7" ht="57.6" hidden="1" x14ac:dyDescent="0.3">
      <c r="A8" s="45">
        <v>7</v>
      </c>
      <c r="B8" s="1"/>
      <c r="C8" s="43" t="s">
        <v>750</v>
      </c>
      <c r="D8" s="1"/>
      <c r="E8" s="1"/>
      <c r="G8" s="10"/>
    </row>
    <row r="9" spans="1:7" s="10" customFormat="1" ht="75" hidden="1" customHeight="1" x14ac:dyDescent="0.3">
      <c r="A9" s="45">
        <v>8</v>
      </c>
      <c r="B9" s="1" t="s">
        <v>751</v>
      </c>
      <c r="C9" s="43" t="s">
        <v>752</v>
      </c>
      <c r="D9" s="1" t="s">
        <v>748</v>
      </c>
      <c r="E9" s="1" t="s">
        <v>753</v>
      </c>
    </row>
    <row r="10" spans="1:7" s="10" customFormat="1" ht="43.2" hidden="1" x14ac:dyDescent="0.3">
      <c r="A10" s="45">
        <v>8</v>
      </c>
      <c r="B10" s="1"/>
      <c r="C10" s="43" t="s">
        <v>754</v>
      </c>
      <c r="D10" s="1"/>
      <c r="E10" s="1"/>
    </row>
    <row r="11" spans="1:7" s="10" customFormat="1" ht="79.95" hidden="1" customHeight="1" x14ac:dyDescent="0.3">
      <c r="A11" s="45">
        <v>9</v>
      </c>
      <c r="B11" s="1" t="s">
        <v>755</v>
      </c>
      <c r="C11" s="43" t="s">
        <v>48</v>
      </c>
      <c r="D11" s="1" t="s">
        <v>756</v>
      </c>
      <c r="E11" s="1" t="s">
        <v>757</v>
      </c>
    </row>
    <row r="12" spans="1:7" ht="79.95" hidden="1" customHeight="1" x14ac:dyDescent="0.3">
      <c r="A12" s="45">
        <v>9</v>
      </c>
      <c r="B12" s="1"/>
      <c r="C12" s="43" t="s">
        <v>758</v>
      </c>
      <c r="D12" s="1"/>
      <c r="E12" s="1"/>
      <c r="G12" s="10"/>
    </row>
    <row r="13" spans="1:7" s="10" customFormat="1" ht="25.2" hidden="1" customHeight="1" x14ac:dyDescent="0.3">
      <c r="A13" s="45">
        <v>10</v>
      </c>
      <c r="B13" s="1" t="s">
        <v>759</v>
      </c>
      <c r="C13" s="43" t="s">
        <v>760</v>
      </c>
      <c r="D13" s="1" t="s">
        <v>756</v>
      </c>
      <c r="E13" s="1" t="s">
        <v>761</v>
      </c>
    </row>
    <row r="14" spans="1:7" s="10" customFormat="1" ht="48.6" hidden="1" customHeight="1" x14ac:dyDescent="0.3">
      <c r="A14" s="45">
        <v>10</v>
      </c>
      <c r="B14" s="1"/>
      <c r="C14" s="43" t="s">
        <v>762</v>
      </c>
      <c r="D14" s="1"/>
      <c r="E14" s="1"/>
    </row>
    <row r="15" spans="1:7" s="10" customFormat="1" ht="25.2" hidden="1" customHeight="1" x14ac:dyDescent="0.3">
      <c r="A15" s="45">
        <v>10</v>
      </c>
      <c r="B15" s="1"/>
      <c r="C15" s="43" t="s">
        <v>56</v>
      </c>
      <c r="D15" s="1"/>
      <c r="E15" s="1"/>
    </row>
    <row r="16" spans="1:7" ht="25.2" hidden="1" customHeight="1" x14ac:dyDescent="0.3">
      <c r="A16" s="45">
        <v>10</v>
      </c>
      <c r="B16" s="1"/>
      <c r="C16" s="43" t="s">
        <v>763</v>
      </c>
      <c r="D16" s="44" t="s">
        <v>764</v>
      </c>
      <c r="E16" s="1"/>
      <c r="G16" s="10"/>
    </row>
    <row r="17" spans="1:7" s="10" customFormat="1" ht="30" hidden="1" customHeight="1" x14ac:dyDescent="0.3">
      <c r="A17" s="42">
        <v>12</v>
      </c>
      <c r="B17" s="1" t="s">
        <v>765</v>
      </c>
      <c r="C17" s="43" t="s">
        <v>766</v>
      </c>
      <c r="D17" s="1" t="s">
        <v>756</v>
      </c>
      <c r="E17" s="1" t="s">
        <v>767</v>
      </c>
    </row>
    <row r="18" spans="1:7" s="10" customFormat="1" ht="28.8" hidden="1" x14ac:dyDescent="0.3">
      <c r="A18" s="42">
        <v>12</v>
      </c>
      <c r="B18" s="1"/>
      <c r="C18" s="43" t="s">
        <v>768</v>
      </c>
      <c r="D18" s="1"/>
      <c r="E18" s="1"/>
    </row>
    <row r="19" spans="1:7" s="10" customFormat="1" ht="28.8" hidden="1" x14ac:dyDescent="0.3">
      <c r="A19" s="42">
        <v>12</v>
      </c>
      <c r="B19" s="1"/>
      <c r="C19" s="43" t="s">
        <v>769</v>
      </c>
      <c r="D19" s="1"/>
      <c r="E19" s="1"/>
    </row>
    <row r="20" spans="1:7" s="10" customFormat="1" ht="28.8" hidden="1" x14ac:dyDescent="0.3">
      <c r="A20" s="42">
        <v>12</v>
      </c>
      <c r="B20" s="1"/>
      <c r="C20" s="43" t="s">
        <v>770</v>
      </c>
      <c r="D20" s="42" t="s">
        <v>764</v>
      </c>
      <c r="E20" s="1"/>
    </row>
    <row r="21" spans="1:7" s="10" customFormat="1" ht="15" hidden="1" customHeight="1" x14ac:dyDescent="0.3">
      <c r="A21" s="42">
        <v>13</v>
      </c>
      <c r="B21" s="1" t="s">
        <v>771</v>
      </c>
      <c r="C21" s="43" t="s">
        <v>184</v>
      </c>
      <c r="D21" s="1" t="s">
        <v>772</v>
      </c>
      <c r="E21" s="1" t="s">
        <v>773</v>
      </c>
    </row>
    <row r="22" spans="1:7" s="10" customFormat="1" ht="43.2" hidden="1" x14ac:dyDescent="0.3">
      <c r="A22" s="42">
        <v>13</v>
      </c>
      <c r="B22" s="1"/>
      <c r="C22" s="43" t="s">
        <v>774</v>
      </c>
      <c r="D22" s="1"/>
      <c r="E22" s="1"/>
    </row>
    <row r="23" spans="1:7" s="10" customFormat="1" ht="43.2" hidden="1" x14ac:dyDescent="0.3">
      <c r="A23" s="42">
        <v>13</v>
      </c>
      <c r="B23" s="1"/>
      <c r="C23" s="43" t="s">
        <v>775</v>
      </c>
      <c r="D23" s="1"/>
      <c r="E23" s="1"/>
    </row>
    <row r="24" spans="1:7" ht="57.6" hidden="1" x14ac:dyDescent="0.3">
      <c r="A24" s="42">
        <v>13</v>
      </c>
      <c r="B24" s="1"/>
      <c r="C24" s="43" t="s">
        <v>776</v>
      </c>
      <c r="D24" s="1"/>
      <c r="E24" s="1"/>
      <c r="G24" s="10"/>
    </row>
    <row r="25" spans="1:7" s="10" customFormat="1" ht="57.6" hidden="1" x14ac:dyDescent="0.3">
      <c r="A25" s="42">
        <v>13</v>
      </c>
      <c r="B25" s="1"/>
      <c r="C25" s="43" t="s">
        <v>777</v>
      </c>
      <c r="D25" s="1"/>
      <c r="E25" s="1"/>
    </row>
    <row r="26" spans="1:7" s="10" customFormat="1" hidden="1" x14ac:dyDescent="0.3">
      <c r="A26" s="42">
        <v>13</v>
      </c>
      <c r="B26" s="1"/>
      <c r="C26" s="43" t="s">
        <v>778</v>
      </c>
      <c r="D26" s="1"/>
      <c r="E26" s="1"/>
    </row>
    <row r="27" spans="1:7" s="10" customFormat="1" hidden="1" x14ac:dyDescent="0.3">
      <c r="A27" s="42">
        <v>13</v>
      </c>
      <c r="B27" s="1"/>
      <c r="C27" s="43" t="s">
        <v>335</v>
      </c>
      <c r="D27" s="1"/>
      <c r="E27" s="1"/>
    </row>
    <row r="28" spans="1:7" s="10" customFormat="1" hidden="1" x14ac:dyDescent="0.3">
      <c r="A28" s="42">
        <v>13</v>
      </c>
      <c r="B28" s="1"/>
      <c r="C28" s="43" t="s">
        <v>316</v>
      </c>
      <c r="D28" s="44" t="s">
        <v>764</v>
      </c>
      <c r="E28" s="1"/>
    </row>
    <row r="29" spans="1:7" s="10" customFormat="1" ht="43.2" hidden="1" x14ac:dyDescent="0.3">
      <c r="A29" s="42">
        <v>13</v>
      </c>
      <c r="B29" s="1"/>
      <c r="C29" s="43" t="s">
        <v>779</v>
      </c>
      <c r="D29" s="42" t="s">
        <v>780</v>
      </c>
      <c r="E29" s="1"/>
    </row>
    <row r="30" spans="1:7" ht="15" hidden="1" customHeight="1" x14ac:dyDescent="0.3">
      <c r="A30" s="42">
        <v>14</v>
      </c>
      <c r="B30" s="1" t="s">
        <v>781</v>
      </c>
      <c r="C30" s="43" t="s">
        <v>350</v>
      </c>
      <c r="D30" s="1" t="s">
        <v>764</v>
      </c>
      <c r="E30" s="1" t="s">
        <v>782</v>
      </c>
      <c r="G30" s="10"/>
    </row>
    <row r="31" spans="1:7" s="10" customFormat="1" ht="28.8" hidden="1" x14ac:dyDescent="0.3">
      <c r="A31" s="42">
        <v>14</v>
      </c>
      <c r="B31" s="1"/>
      <c r="C31" s="43" t="s">
        <v>783</v>
      </c>
      <c r="D31" s="1"/>
      <c r="E31" s="1"/>
    </row>
    <row r="32" spans="1:7" s="10" customFormat="1" hidden="1" x14ac:dyDescent="0.3">
      <c r="A32" s="42">
        <v>14</v>
      </c>
      <c r="B32" s="1"/>
      <c r="C32" s="43" t="s">
        <v>355</v>
      </c>
      <c r="D32" s="42" t="s">
        <v>784</v>
      </c>
      <c r="E32" s="1"/>
    </row>
    <row r="33" spans="1:9" s="10" customFormat="1" ht="15" hidden="1" customHeight="1" x14ac:dyDescent="0.3">
      <c r="A33" s="42">
        <v>14</v>
      </c>
      <c r="B33" s="1"/>
      <c r="C33" s="43" t="s">
        <v>340</v>
      </c>
      <c r="D33" s="1" t="s">
        <v>756</v>
      </c>
      <c r="E33" s="1"/>
    </row>
    <row r="34" spans="1:9" s="10" customFormat="1" hidden="1" x14ac:dyDescent="0.3">
      <c r="A34" s="42">
        <v>14</v>
      </c>
      <c r="B34" s="1"/>
      <c r="C34" s="43" t="s">
        <v>785</v>
      </c>
      <c r="D34" s="1"/>
      <c r="E34" s="1"/>
    </row>
    <row r="35" spans="1:9" s="10" customFormat="1" ht="43.2" hidden="1" x14ac:dyDescent="0.3">
      <c r="A35" s="42">
        <v>14</v>
      </c>
      <c r="B35" s="1"/>
      <c r="C35" s="43" t="s">
        <v>786</v>
      </c>
      <c r="D35" s="1"/>
      <c r="E35" s="1"/>
    </row>
    <row r="36" spans="1:9" s="10" customFormat="1" ht="15" hidden="1" customHeight="1" x14ac:dyDescent="0.3">
      <c r="A36" s="42">
        <v>16</v>
      </c>
      <c r="B36" s="1" t="s">
        <v>787</v>
      </c>
      <c r="C36" s="43" t="s">
        <v>788</v>
      </c>
      <c r="D36" s="1" t="s">
        <v>756</v>
      </c>
      <c r="E36" s="1" t="s">
        <v>789</v>
      </c>
    </row>
    <row r="37" spans="1:9" s="10" customFormat="1" hidden="1" x14ac:dyDescent="0.3">
      <c r="A37" s="42">
        <v>16</v>
      </c>
      <c r="B37" s="1"/>
      <c r="C37" s="43" t="s">
        <v>790</v>
      </c>
      <c r="D37" s="1"/>
      <c r="E37" s="1"/>
    </row>
    <row r="38" spans="1:9" s="10" customFormat="1" hidden="1" x14ac:dyDescent="0.3">
      <c r="A38" s="42">
        <v>16</v>
      </c>
      <c r="B38" s="1"/>
      <c r="C38" s="43" t="s">
        <v>791</v>
      </c>
      <c r="D38" s="1"/>
      <c r="E38" s="1"/>
    </row>
    <row r="39" spans="1:9" ht="43.2" hidden="1" x14ac:dyDescent="0.3">
      <c r="A39" s="42">
        <v>16</v>
      </c>
      <c r="B39" s="1"/>
      <c r="C39" s="43" t="s">
        <v>792</v>
      </c>
      <c r="D39" s="1"/>
      <c r="E39" s="1"/>
      <c r="G39" s="10"/>
      <c r="H39" s="46"/>
      <c r="I39" s="46"/>
    </row>
    <row r="40" spans="1:9" s="10" customFormat="1" ht="43.2" hidden="1" x14ac:dyDescent="0.3">
      <c r="A40" s="42">
        <v>16</v>
      </c>
      <c r="B40" s="1"/>
      <c r="C40" s="43" t="s">
        <v>793</v>
      </c>
      <c r="D40" s="1"/>
      <c r="E40" s="1"/>
      <c r="G40" s="46"/>
      <c r="H40" s="46"/>
      <c r="I40" s="46"/>
    </row>
    <row r="41" spans="1:9" s="10" customFormat="1" ht="43.2" hidden="1" x14ac:dyDescent="0.3">
      <c r="A41" s="42">
        <v>16</v>
      </c>
      <c r="B41" s="1"/>
      <c r="C41" s="43" t="s">
        <v>794</v>
      </c>
      <c r="D41" s="1"/>
      <c r="E41" s="1"/>
      <c r="G41" s="46"/>
      <c r="H41" s="46"/>
      <c r="I41" s="46"/>
    </row>
    <row r="42" spans="1:9" s="10" customFormat="1" hidden="1" x14ac:dyDescent="0.3">
      <c r="A42" s="42">
        <v>16</v>
      </c>
      <c r="B42" s="1"/>
      <c r="C42" s="43" t="s">
        <v>573</v>
      </c>
      <c r="D42" s="1"/>
      <c r="E42" s="1"/>
      <c r="G42" s="46"/>
      <c r="H42" s="46"/>
      <c r="I42" s="46"/>
    </row>
    <row r="43" spans="1:9" s="10" customFormat="1" hidden="1" x14ac:dyDescent="0.3">
      <c r="A43" s="42">
        <v>16</v>
      </c>
      <c r="B43" s="1"/>
      <c r="C43" s="43" t="s">
        <v>795</v>
      </c>
      <c r="D43" s="1"/>
      <c r="E43" s="1"/>
      <c r="G43" s="46"/>
      <c r="H43" s="46"/>
      <c r="I43" s="46"/>
    </row>
    <row r="44" spans="1:9" ht="28.8" hidden="1" x14ac:dyDescent="0.3">
      <c r="A44" s="42">
        <v>16</v>
      </c>
      <c r="B44" s="1"/>
      <c r="C44" s="43" t="s">
        <v>796</v>
      </c>
      <c r="D44" s="43" t="s">
        <v>797</v>
      </c>
      <c r="E44" s="1"/>
      <c r="G44" s="10"/>
    </row>
    <row r="45" spans="1:9" ht="32.4" customHeight="1" x14ac:dyDescent="0.3">
      <c r="A45" s="42">
        <v>18</v>
      </c>
      <c r="B45" s="1" t="s">
        <v>798</v>
      </c>
      <c r="C45" s="43" t="s">
        <v>473</v>
      </c>
      <c r="D45" s="42" t="s">
        <v>764</v>
      </c>
      <c r="E45" s="1" t="s">
        <v>799</v>
      </c>
    </row>
    <row r="46" spans="1:9" ht="32.4" customHeight="1" x14ac:dyDescent="0.3">
      <c r="A46" s="42">
        <v>18</v>
      </c>
      <c r="B46" s="1"/>
      <c r="C46" s="43" t="s">
        <v>362</v>
      </c>
      <c r="D46" s="42" t="s">
        <v>780</v>
      </c>
      <c r="E46" s="1"/>
    </row>
    <row r="47" spans="1:9" ht="32.4" customHeight="1" x14ac:dyDescent="0.3">
      <c r="A47" s="42">
        <v>18</v>
      </c>
      <c r="B47" s="1"/>
      <c r="C47" s="43" t="s">
        <v>734</v>
      </c>
      <c r="D47" s="1" t="s">
        <v>756</v>
      </c>
      <c r="E47" s="1"/>
    </row>
    <row r="48" spans="1:9" ht="32.4" customHeight="1" x14ac:dyDescent="0.3">
      <c r="A48" s="42">
        <v>18</v>
      </c>
      <c r="B48" s="1"/>
      <c r="C48" s="43" t="s">
        <v>735</v>
      </c>
      <c r="D48" s="1"/>
      <c r="E48" s="1"/>
    </row>
    <row r="49" spans="1:5" ht="32.4" customHeight="1" x14ac:dyDescent="0.3">
      <c r="A49" s="42">
        <v>18</v>
      </c>
      <c r="B49" s="1"/>
      <c r="C49" s="43" t="s">
        <v>736</v>
      </c>
      <c r="D49" s="42" t="s">
        <v>800</v>
      </c>
      <c r="E49" s="1"/>
    </row>
    <row r="50" spans="1:5" ht="15" hidden="1" customHeight="1" x14ac:dyDescent="0.3">
      <c r="A50" s="42">
        <v>19</v>
      </c>
      <c r="B50" s="1" t="s">
        <v>801</v>
      </c>
      <c r="C50" s="43" t="s">
        <v>681</v>
      </c>
      <c r="D50" s="42" t="s">
        <v>784</v>
      </c>
      <c r="E50" s="1" t="s">
        <v>802</v>
      </c>
    </row>
    <row r="51" spans="1:5" ht="15" hidden="1" customHeight="1" x14ac:dyDescent="0.3">
      <c r="A51" s="42">
        <v>19</v>
      </c>
      <c r="B51" s="1"/>
      <c r="C51" s="43" t="s">
        <v>689</v>
      </c>
      <c r="D51" s="1" t="s">
        <v>756</v>
      </c>
      <c r="E51" s="1"/>
    </row>
    <row r="52" spans="1:5" hidden="1" x14ac:dyDescent="0.3">
      <c r="A52" s="42">
        <v>19</v>
      </c>
      <c r="B52" s="1"/>
      <c r="C52" s="43" t="s">
        <v>695</v>
      </c>
      <c r="D52" s="1"/>
      <c r="E52" s="1"/>
    </row>
    <row r="53" spans="1:5" ht="43.2" hidden="1" x14ac:dyDescent="0.3">
      <c r="A53" s="42">
        <v>19</v>
      </c>
      <c r="B53" s="1"/>
      <c r="C53" s="43" t="s">
        <v>803</v>
      </c>
      <c r="D53" s="1"/>
      <c r="E53" s="1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admin29</cp:lastModifiedBy>
  <cp:revision>16</cp:revision>
  <dcterms:modified xsi:type="dcterms:W3CDTF">2022-04-13T08:45:34Z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