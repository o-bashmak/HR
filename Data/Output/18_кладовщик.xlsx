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3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3.xml" Id="rId17" /></Relationships>
</file>

<file path=xl/workbook.xml><?xml version="1.0" encoding="utf-8"?>
<x:workbook xmlns:x15ac="http://schemas.microsoft.com/office/spreadsheetml/2010/11/ac" xmlns:x="http://schemas.openxmlformats.org/spreadsheetml/2006/main" xmlns:loext="http://schemas.libreoffice.org/" xmlns:r="http://schemas.openxmlformats.org/officeDocument/2006/relationships" xmlns:mc="http://schemas.openxmlformats.org/markup-compatibility/2006" xmlns:x15="http://schemas.microsoft.com/office/spreadsheetml/2010/11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x:bookViews>
    <x:workbookView xWindow="0" yWindow="0" windowWidth="16380" windowHeight="8190" tabRatio="500" firstSheet="8" activeTab="10"/>
  </x:bookViews>
  <x:sheets>
    <x:sheet name="4" sheetId="1" state="hidden" r:id="rId1"/>
    <x:sheet name="5" sheetId="2" state="hidden" r:id="rId2"/>
    <x:sheet name="7" sheetId="3" state="hidden" r:id="rId3"/>
    <x:sheet name="8" sheetId="4" state="hidden" r:id="rId4"/>
    <x:sheet name="9" sheetId="5" state="hidden" r:id="rId5"/>
    <x:sheet name="11" sheetId="6" state="hidden" r:id="rId6"/>
    <x:sheet name="13" sheetId="7" state="hidden" r:id="rId7"/>
    <x:sheet name="14" sheetId="8" state="hidden" r:id="rId8"/>
    <x:sheet name="18" sheetId="9" r:id="rId9"/>
    <x:sheet name="ЦУ" sheetId="10" r:id="rId10"/>
    <x:sheet name="Sheet1" sheetId="15" r:id="rId11"/>
  </x:sheets>
  <x:definedNames>
    <x:definedName name="_xlnm._FilterDatabase" localSheetId="8" hidden="1">'18'!$A$21:$I$326</x:definedName>
    <x:definedName name="_xlnm._FilterDatabase" localSheetId="9" hidden="1">'ЦУ'!$A$2:$I$53</x:definedName>
  </x:definedNames>
  <x:calcPr calcId="162913" iterateDelta="1E-4"/>
  <x:extLst>
    <x:ext xmlns:x="http://schemas.openxmlformats.org/spreadsheetml/2006/main"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F26" i="9"/>
  <x:c r="F27" i="9"/>
  <x:c r="F28" i="9"/>
  <x:c r="F32" i="9"/>
  <x:c r="F34" i="9"/>
  <x:c r="F37" i="9"/>
  <x:c r="F38" i="9"/>
  <x:c r="F42" i="9"/>
  <x:c r="F43" i="9"/>
  <x:c r="F52" i="9"/>
  <x:c r="F54" i="9"/>
  <x:c r="F55" i="9"/>
  <x:c r="F56" i="9"/>
  <x:c r="F57" i="9"/>
  <x:c r="F58" i="9"/>
  <x:c r="F59" i="9"/>
  <x:c r="F60" i="9"/>
  <x:c r="F61" i="9"/>
  <x:c r="F62" i="9"/>
  <x:c r="F63" i="9"/>
  <x:c r="F64" i="9"/>
  <x:c r="F65" i="9"/>
  <x:c r="F66" i="9"/>
  <x:c r="F67" i="9"/>
  <x:c r="F68" i="9"/>
  <x:c r="F69" i="9"/>
  <x:c r="F70" i="9"/>
  <x:c r="F71" i="9"/>
  <x:c r="F72" i="9"/>
  <x:c r="F73" i="9"/>
  <x:c r="F74" i="9"/>
  <x:c r="F75" i="9"/>
  <x:c r="F76" i="9"/>
  <x:c r="F77" i="9"/>
  <x:c r="F78" i="9"/>
  <x:c r="F79" i="9"/>
  <x:c r="F80" i="9"/>
  <x:c r="F81" i="9"/>
  <x:c r="F82" i="9"/>
  <x:c r="B84" i="9"/>
  <x:c r="F84" i="9"/>
  <x:c r="B85" i="9"/>
  <x:c r="F85" i="9"/>
  <x:c r="B86" i="9"/>
  <x:c r="F86" i="9"/>
  <x:c r="B87" i="9"/>
  <x:c r="F87" i="9"/>
  <x:c r="B88" i="9"/>
  <x:c r="F88" i="9"/>
  <x:c r="B89" i="9"/>
  <x:c r="F89" i="9"/>
  <x:c r="B90" i="9"/>
  <x:c r="F90" i="9"/>
  <x:c r="B91" i="9"/>
  <x:c r="F91" i="9"/>
  <x:c r="B92" i="9"/>
  <x:c r="F92" i="9"/>
  <x:c r="B93" i="9"/>
  <x:c r="F93" i="9"/>
  <x:c r="B94" i="9"/>
  <x:c r="F94" i="9"/>
  <x:c r="B95" i="9"/>
  <x:c r="F95" i="9"/>
  <x:c r="B96" i="9"/>
  <x:c r="F96" i="9"/>
  <x:c r="B97" i="9"/>
  <x:c r="F97" i="9"/>
  <x:c r="B98" i="9"/>
  <x:c r="F98" i="9"/>
  <x:c r="B99" i="9"/>
  <x:c r="F99" i="9"/>
  <x:c r="B100" i="9"/>
  <x:c r="F100" i="9"/>
  <x:c r="B101" i="9"/>
  <x:c r="F101" i="9"/>
  <x:c r="B102" i="9"/>
  <x:c r="F102" i="9"/>
  <x:c r="B103" i="9"/>
  <x:c r="F103" i="9"/>
  <x:c r="B104" i="9"/>
  <x:c r="F104" i="9"/>
  <x:c r="B105" i="9"/>
  <x:c r="F105" i="9"/>
  <x:c r="B106" i="9"/>
  <x:c r="F106" i="9"/>
  <x:c r="B107" i="9"/>
  <x:c r="F107" i="9"/>
  <x:c r="B108" i="9"/>
  <x:c r="F108" i="9"/>
  <x:c r="B109" i="9"/>
  <x:c r="F109" i="9"/>
  <x:c r="B110" i="9"/>
  <x:c r="F110" i="9"/>
  <x:c r="B111" i="9"/>
  <x:c r="F111" i="9"/>
  <x:c r="B112" i="9"/>
  <x:c r="F112" i="9"/>
  <x:c r="B113" i="9"/>
  <x:c r="F113" i="9"/>
  <x:c r="B114" i="9"/>
  <x:c r="F114" i="9"/>
  <x:c r="B115" i="9"/>
  <x:c r="F115" i="9"/>
  <x:c r="F116" i="9"/>
  <x:c r="F117" i="9"/>
  <x:c r="F118" i="9"/>
  <x:c r="F119" i="9"/>
  <x:c r="F120" i="9"/>
  <x:c r="F121" i="9"/>
  <x:c r="F122" i="9"/>
  <x:c r="F123" i="9"/>
  <x:c r="F124" i="9"/>
  <x:c r="F125" i="9"/>
  <x:c r="F126" i="9"/>
  <x:c r="F127" i="9"/>
  <x:c r="F128" i="9"/>
  <x:c r="F129" i="9"/>
  <x:c r="F130" i="9"/>
  <x:c r="F131" i="9"/>
  <x:c r="F132" i="9"/>
  <x:c r="F133" i="9"/>
  <x:c r="F134" i="9"/>
  <x:c r="F135" i="9"/>
  <x:c r="F136" i="9"/>
  <x:c r="F137" i="9"/>
  <x:c r="F138" i="9"/>
  <x:c r="F139" i="9"/>
  <x:c r="F140" i="9"/>
  <x:c r="F141" i="9"/>
  <x:c r="F142" i="9"/>
  <x:c r="F143" i="9"/>
  <x:c r="F145" i="9"/>
  <x:c r="F146" i="9"/>
  <x:c r="F147" i="9"/>
  <x:c r="F148" i="9"/>
  <x:c r="F149" i="9"/>
  <x:c r="F150" i="9"/>
  <x:c r="F151" i="9"/>
  <x:c r="F152" i="9"/>
  <x:c r="F153" i="9"/>
  <x:c r="F154" i="9"/>
  <x:c r="F155" i="9"/>
  <x:c r="F156" i="9"/>
  <x:c r="F157" i="9"/>
  <x:c r="F158" i="9"/>
  <x:c r="F159" i="9"/>
  <x:c r="F160" i="9"/>
  <x:c r="F161" i="9"/>
  <x:c r="F162" i="9"/>
  <x:c r="F163" i="9"/>
  <x:c r="F164" i="9"/>
  <x:c r="F165" i="9"/>
  <x:c r="F166" i="9"/>
  <x:c r="F167" i="9"/>
  <x:c r="F168" i="9"/>
  <x:c r="F169" i="9"/>
  <x:c r="F170" i="9"/>
  <x:c r="F171" i="9"/>
  <x:c r="F172" i="9"/>
  <x:c r="F173" i="9"/>
  <x:c r="F174" i="9"/>
  <x:c r="F175" i="9"/>
  <x:c r="F176" i="9"/>
  <x:c r="F177" i="9"/>
  <x:c r="F178" i="9"/>
  <x:c r="F179" i="9"/>
  <x:c r="F180" i="9"/>
  <x:c r="F181" i="9"/>
  <x:c r="F182" i="9"/>
  <x:c r="F183" i="9"/>
  <x:c r="F184" i="9"/>
  <x:c r="F185" i="9"/>
  <x:c r="F186" i="9"/>
  <x:c r="F187" i="9"/>
  <x:c r="F188" i="9"/>
  <x:c r="F189" i="9"/>
  <x:c r="F190" i="9"/>
  <x:c r="F191" i="9"/>
  <x:c r="F192" i="9"/>
  <x:c r="F193" i="9"/>
  <x:c r="F194" i="9"/>
  <x:c r="F195" i="9"/>
  <x:c r="F196" i="9"/>
  <x:c r="F197" i="9"/>
  <x:c r="F198" i="9"/>
  <x:c r="F199" i="9"/>
  <x:c r="F200" i="9"/>
  <x:c r="F201" i="9"/>
  <x:c r="F202" i="9"/>
  <x:c r="F203" i="9"/>
  <x:c r="F204" i="9"/>
  <x:c r="F206" i="9"/>
  <x:c r="F207" i="9"/>
  <x:c r="F208" i="9"/>
  <x:c r="F209" i="9"/>
  <x:c r="F210" i="9"/>
  <x:c r="F211" i="9"/>
  <x:c r="F212" i="9"/>
  <x:c r="F213" i="9"/>
  <x:c r="F214" i="9"/>
  <x:c r="F215" i="9"/>
  <x:c r="F216" i="9"/>
  <x:c r="F217" i="9"/>
  <x:c r="F218" i="9"/>
  <x:c r="F219" i="9"/>
  <x:c r="F220" i="9"/>
  <x:c r="F221" i="9"/>
  <x:c r="F222" i="9"/>
  <x:c r="F223" i="9"/>
  <x:c r="F224" i="9"/>
  <x:c r="F225" i="9"/>
  <x:c r="F226" i="9"/>
  <x:c r="F227" i="9"/>
  <x:c r="F228" i="9"/>
  <x:c r="F229" i="9"/>
  <x:c r="F230" i="9"/>
  <x:c r="F231" i="9"/>
  <x:c r="F232" i="9"/>
  <x:c r="F233" i="9"/>
  <x:c r="F234" i="9"/>
  <x:c r="F235" i="9"/>
  <x:c r="F236" i="9"/>
  <x:c r="F237" i="9"/>
  <x:c r="F238" i="9"/>
  <x:c r="F239" i="9"/>
  <x:c r="F240" i="9"/>
  <x:c r="F241" i="9"/>
  <x:c r="F242" i="9"/>
  <x:c r="F243" i="9"/>
  <x:c r="F244" i="9"/>
  <x:c r="F245" i="9"/>
  <x:c r="F246" i="9"/>
  <x:c r="F247" i="9"/>
  <x:c r="F248" i="9"/>
  <x:c r="F249" i="9"/>
  <x:c r="F250" i="9"/>
  <x:c r="F251" i="9"/>
  <x:c r="F252" i="9"/>
  <x:c r="F253" i="9"/>
  <x:c r="F254" i="9"/>
  <x:c r="F255" i="9"/>
  <x:c r="F256" i="9"/>
  <x:c r="F257" i="9"/>
  <x:c r="F258" i="9"/>
  <x:c r="F259" i="9"/>
  <x:c r="F260" i="9"/>
  <x:c r="F261" i="9"/>
  <x:c r="F262" i="9"/>
  <x:c r="F263" i="9"/>
  <x:c r="F264" i="9"/>
  <x:c r="F265" i="9"/>
  <x:c r="F267" i="9"/>
  <x:c r="F268" i="9"/>
  <x:c r="F269" i="9"/>
  <x:c r="F270" i="9"/>
  <x:c r="F271" i="9"/>
  <x:c r="F272" i="9"/>
  <x:c r="F273" i="9"/>
  <x:c r="F274" i="9"/>
  <x:c r="F275" i="9"/>
  <x:c r="F276" i="9"/>
  <x:c r="F277" i="9"/>
  <x:c r="F278" i="9"/>
  <x:c r="F279" i="9"/>
  <x:c r="F280" i="9"/>
  <x:c r="F281" i="9"/>
  <x:c r="F282" i="9"/>
  <x:c r="F283" i="9"/>
  <x:c r="F284" i="9"/>
  <x:c r="F285" i="9"/>
  <x:c r="F286" i="9"/>
  <x:c r="F287" i="9"/>
  <x:c r="F288" i="9"/>
  <x:c r="F289" i="9"/>
  <x:c r="F290" i="9"/>
  <x:c r="F291" i="9"/>
  <x:c r="F292" i="9"/>
  <x:c r="F293" i="9"/>
  <x:c r="F294" i="9"/>
  <x:c r="F295" i="9"/>
  <x:c r="F296" i="9"/>
  <x:c r="F297" i="9"/>
  <x:c r="F298" i="9"/>
  <x:c r="F299" i="9"/>
  <x:c r="F300" i="9"/>
  <x:c r="F301" i="9"/>
  <x:c r="F302" i="9"/>
  <x:c r="F303" i="9"/>
  <x:c r="F304" i="9"/>
  <x:c r="F305" i="9"/>
  <x:c r="F306" i="9"/>
  <x:c r="F307" i="9"/>
  <x:c r="F308" i="9"/>
  <x:c r="F309" i="9"/>
  <x:c r="F310" i="9"/>
  <x:c r="F311" i="9"/>
  <x:c r="F312" i="9"/>
  <x:c r="F313" i="9"/>
  <x:c r="F314" i="9"/>
  <x:c r="F315" i="9"/>
  <x:c r="F316" i="9"/>
  <x:c r="F317" i="9"/>
  <x:c r="F318" i="9"/>
  <x:c r="F319" i="9"/>
  <x:c r="F320" i="9"/>
  <x:c r="F321" i="9"/>
  <x:c r="F322" i="9"/>
  <x:c r="F323" i="9"/>
  <x:c r="F324" i="9"/>
  <x:c r="F325" i="9"/>
  <x:c r="F326" i="9"/>
  <x:c r="A1" i="15"/>
</x:calcChain>
</file>

<file path=xl/sharedStrings.xml><?xml version="1.0" encoding="utf-8"?>
<x:sst xmlns:x="http://schemas.openxmlformats.org/spreadsheetml/2006/main" count="861" uniqueCount="861">
  <x:si>
    <x:t>Уровень позиции</x:t>
  </x:si>
  <x:si>
    <x:t>Должность / профессия</x:t>
  </x:si>
  <x:si>
    <x:t>ЗАО "Серволюкс Агро"</x:t>
  </x:si>
  <x:si>
    <x:t>ЗАО "Смолевичи Молоко"</x:t>
  </x:si>
  <x:si>
    <x:t>ЗАО "Экомол Агро"</x:t>
  </x:si>
  <x:si>
    <x:t>ЗАО "Юнимит"</x:t>
  </x:si>
  <x:si>
    <x:t>ОАО "Заднепровье"</x:t>
  </x:si>
  <x:si>
    <x:t>ОАО "Смолевичи Бройлер"</x:t>
  </x:si>
  <x:si>
    <x:t>ОАО "Смолевичи Бройлер"/ф-л "Генетик"</x:t>
  </x:si>
  <x:si>
    <x:t>ОАО "Смолевичи Бройлер"/ф-л "Генетик-2"</x:t>
  </x:si>
  <x:si>
    <x:t>ОАО "Смолевичи Бройлер"/ф-л "ККЗ"</x:t>
  </x:si>
  <x:si>
    <x:t>ОАО "Смолевичи Бройлер"/ф-л "Сервис Солюшенс"</x:t>
  </x:si>
  <x:si>
    <x:t>ОАО "Смолевичи Бройлер"/ф-л "Смолевичи Дэйриз"</x:t>
  </x:si>
  <x:si>
    <x:t>ОАО "Экомол"</x:t>
  </x:si>
  <x:si>
    <x:t>ООО "Серволюкс Восток"</x:t>
  </x:si>
  <x:si>
    <x:t>СЗАО "Агролинк"</x:t>
  </x:si>
  <x:si>
    <x:t>СЗАО "Серволюкс"</x:t>
  </x:si>
  <x:si>
    <x:t>Ф-л "Белмит"</x:t>
  </x:si>
  <x:si>
    <x:t>Общий итог</x:t>
  </x:si>
  <x:si>
    <x:t>04. Средний менеджмент</x:t>
  </x:si>
  <x:si>
    <x:t>Главный агроном</x:t>
  </x:si>
  <x:si>
    <x:t>Главный бухгалтер</x:t>
  </x:si>
  <x:si>
    <x:t>Главный ветеринарный врач</x:t>
  </x:si>
  <x:si>
    <x:t>Главный инженер</x:t>
  </x:si>
  <x:si>
    <x:t>Главный инженер - энергетик</x:t>
  </x:si>
  <x:si>
    <x:t>Главный инженер-механик</x:t>
  </x:si>
  <x:si>
    <x:t>Главный механик</x:t>
  </x:si>
  <x:si>
    <x:t>Главный технолог</x:t>
  </x:si>
  <x:si>
    <x:t>Главный экономист</x:t>
  </x:si>
  <x:si>
    <x:t>Главный энергетик</x:t>
  </x:si>
  <x:si>
    <x:t>Заместитель  директора</x:t>
  </x:si>
  <x:si>
    <x:t>Заместитель генерального директора</x:t>
  </x:si>
  <x:si>
    <x:t>Начальник группы</x:t>
  </x:si>
  <x:si>
    <x:t>Начальник производства</x:t>
  </x:si>
  <x:si>
    <x:t>Начальник службы</x:t>
  </x:si>
  <x:si>
    <x:t>Начальник управления</x:t>
  </x:si>
  <x:si>
    <x:t>Начальник цеха</x:t>
  </x:si>
  <x:si>
    <x:t xml:space="preserve">Первый заместитель генерального директора </x:t>
  </x:si>
  <x:si>
    <x:t>Первый заместитель директора</x:t>
  </x:si>
  <x:si>
    <x:t>SUM of ШЕ</x:t>
  </x:si>
  <x:si>
    <x:t>Предприятие</x:t>
  </x:si>
  <x:si>
    <x:t>ОДО "Альтернативная экономика"</x:t>
  </x:si>
  <x:si>
    <x:t>ООО "Серволюкс Нутришн"</x:t>
  </x:si>
  <x:si>
    <x:t>СООО "Астеро лизинг"</x:t>
  </x:si>
  <x:si>
    <x:t>05. Линейный менеджмент</x:t>
  </x:si>
  <x:si>
    <x:t>Бригадир производственной бригады</x:t>
  </x:si>
  <x:si>
    <x:t>Мастер</x:t>
  </x:si>
  <x:si>
    <x:t>Начальник бюро</x:t>
  </x:si>
  <x:si>
    <x:t>Начальник отдела</x:t>
  </x:si>
  <x:si>
    <x:t>Начальник сектора</x:t>
  </x:si>
  <x:si>
    <x:t>Начальник склада</x:t>
  </x:si>
  <x:si>
    <x:t>Начальник смены</x:t>
  </x:si>
  <x:si>
    <x:t>Производитель работ</x:t>
  </x:si>
  <x:si>
    <x:t>Руководитель направления</x:t>
  </x:si>
  <x:si>
    <x:t>Руководитель подразделения</x:t>
  </x:si>
  <x:si>
    <x:t>Заведующий хозяйством</x:t>
  </x:si>
  <x:si>
    <x:t>Заведующий складом</x:t>
  </x:si>
  <x:si>
    <x:t>Старший супервайзер</x:t>
  </x:si>
  <x:si>
    <x:t>Супервайзер</x:t>
  </x:si>
  <x:si>
    <x:t>07. Ведущие специалисты</x:t>
  </x:si>
  <x:si>
    <x:t>Заместитель главного  инженера - энергетика по теплотехнической части</x:t>
  </x:si>
  <x:si>
    <x:t>Заместитель главного  инженера - энергетика по электротехнической части</x:t>
  </x:si>
  <x:si>
    <x:t>Заместитель главного  механика</x:t>
  </x:si>
  <x:si>
    <x:t>Заместитель главного бухгалтера</x:t>
  </x:si>
  <x:si>
    <x:t>Заместитель главного инженера</x:t>
  </x:si>
  <x:si>
    <x:t>Заместитель главного инженера-механика</x:t>
  </x:si>
  <x:si>
    <x:t>Заместитель главного энергетика</x:t>
  </x:si>
  <x:si>
    <x:t>Заместитель заведующего магазином по заявкам</x:t>
  </x:si>
  <x:si>
    <x:t>Заместитель начальника  цеха</x:t>
  </x:si>
  <x:si>
    <x:t>Заместитель начальника отдела</x:t>
  </x:si>
  <x:si>
    <x:t>Заместитель начальника службы</x:t>
  </x:si>
  <x:si>
    <x:t>Заместитель начальника управления</x:t>
  </x:si>
  <x:si>
    <x:t>Менеджер</x:t>
  </x:si>
  <x:si>
    <x:t>Менеджер мелкой торговли</x:t>
  </x:si>
  <x:si>
    <x:t>Менеджер по автоматизации бизнес-процессов и внедрению учетных систем</x:t>
  </x:si>
  <x:si>
    <x:t>Менеджер по аудиту складского учета</x:t>
  </x:si>
  <x:si>
    <x:t>Менеджер по биологической безопасности</x:t>
  </x:si>
  <x:si>
    <x:t>Менеджер по брендингу</x:t>
  </x:si>
  <x:si>
    <x:t>Менеджер по внешнеэкономическим связям</x:t>
  </x:si>
  <x:si>
    <x:t>Менеджер по закупкам мелкой торговли</x:t>
  </x:si>
  <x:si>
    <x:t>Менеджер по защите активов</x:t>
  </x:si>
  <x:si>
    <x:t>Менеджер по информационным технологиям</x:t>
  </x:si>
  <x:si>
    <x:t>Менеджер по логистике</x:t>
  </x:si>
  <x:si>
    <x:t>Менеджер по маркетингу</x:t>
  </x:si>
  <x:si>
    <x:t>Менеджер по маркетингу мелкой торговли</x:t>
  </x:si>
  <x:si>
    <x:t>Менеджер по мерчендайзингу</x:t>
  </x:si>
  <x:si>
    <x:t>Менеджер по организации собственного производства</x:t>
  </x:si>
  <x:si>
    <x:t>Менеджер по организации торговли</x:t>
  </x:si>
  <x:si>
    <x:t>Менеджер по перевозкам</x:t>
  </x:si>
  <x:si>
    <x:t>Менеджер по персоналу</x:t>
  </x:si>
  <x:si>
    <x:t>Менеджер по подбору персонала</x:t>
  </x:si>
  <x:si>
    <x:t>Менеджер по продажам</x:t>
  </x:si>
  <x:si>
    <x:t>Менеджер по рекламе</x:t>
  </x:si>
  <x:si>
    <x:t>Менеджер по транспорту</x:t>
  </x:si>
  <x:si>
    <x:t>Менеджер по финансам</x:t>
  </x:si>
  <x:si>
    <x:t>Менеджер по экономической безопасности</x:t>
  </x:si>
  <x:si>
    <x:t>Менеджер товарной категории</x:t>
  </x:si>
  <x:si>
    <x:t>Помощник генерального  директора по вопросам реализации инвестиционных проектов</x:t>
  </x:si>
  <x:si>
    <x:t>Помощник руководителя по безопасности</x:t>
  </x:si>
  <x:si>
    <x:t>Заместитель заведующего складом</x:t>
  </x:si>
  <x:si>
    <x:t>Ведущий администратор системный</x:t>
  </x:si>
  <x:si>
    <x:t>Ведущий бухгалтер / заместитель главного бухгалтера</x:t>
  </x:si>
  <x:si>
    <x:t>Ведущий бухгалтер по учету ОС</x:t>
  </x:si>
  <x:si>
    <x:t>Ведущий бухгалтер-ревизор</x:t>
  </x:si>
  <x:si>
    <x:t>Ведущий ветеринарный врач</x:t>
  </x:si>
  <x:si>
    <x:t>Ведущий геодезист</x:t>
  </x:si>
  <x:si>
    <x:t>Ведущий дизайнер</x:t>
  </x:si>
  <x:si>
    <x:t>Ведущий диспетчер</x:t>
  </x:si>
  <x:si>
    <x:t>Ведущий зоотехник</x:t>
  </x:si>
  <x:si>
    <x:t>Ведущий инженер</x:t>
  </x:si>
  <x:si>
    <x:t>Ведущий инженер видеооборудования</x:t>
  </x:si>
  <x:si>
    <x:t>Ведущий инженер по качеству</x:t>
  </x:si>
  <x:si>
    <x:t>Ведущий инженер по контрольно-измерительным приборам и средствам автоматики</x:t>
  </x:si>
  <x:si>
    <x:t>Ведущий инженер по материально-техническому снабжению</x:t>
  </x:si>
  <x:si>
    <x:t>Ведущий инженер по метрологии</x:t>
  </x:si>
  <x:si>
    <x:t>Ведущий инженер по организации производства</x:t>
  </x:si>
  <x:si>
    <x:t>Ведущий инженер по охране окружающей среды</x:t>
  </x:si>
  <x:si>
    <x:t>Ведущий инженер по охране труда</x:t>
  </x:si>
  <x:si>
    <x:t>Ведущий инженер по подготовке производства</x:t>
  </x:si>
  <x:si>
    <x:t>Ведущий инженер по подготовке производства, планированию и договорной работе</x:t>
  </x:si>
  <x:si>
    <x:t>Ведущий инженер по пожарной безопасности</x:t>
  </x:si>
  <x:si>
    <x:t>Ведущий инженер по проектно-сметной работе</x:t>
  </x:si>
  <x:si>
    <x:t>Ведущий инженер по ремонту</x:t>
  </x:si>
  <x:si>
    <x:t>Ведущий инженер по ремонту транспорта</x:t>
  </x:si>
  <x:si>
    <x:t>Ведущий инженер по сметной работе</x:t>
  </x:si>
  <x:si>
    <x:t>Ведущий инженер по стандартизации и сертификации</x:t>
  </x:si>
  <x:si>
    <x:t>Ведущий инженер по технической эксплуатации вентиляционных систем</x:t>
  </x:si>
  <x:si>
    <x:t>Ведущий инженер по эксплуатации автомобильного транспорта</x:t>
  </x:si>
  <x:si>
    <x:t>Ведущий инженер по эксплуатации оборудования газовых объектов</x:t>
  </x:si>
  <x:si>
    <x:t>Ведущий инженер по эксплуатации тракторной техники</x:t>
  </x:si>
  <x:si>
    <x:t>Ведущий инженер-механик</x:t>
  </x:si>
  <x:si>
    <x:t>Ведущий инженер-технолог</x:t>
  </x:si>
  <x:si>
    <x:t>Ведущий инженер-химик</x:t>
  </x:si>
  <x:si>
    <x:t>Ведущий инженер-электрик</x:t>
  </x:si>
  <x:si>
    <x:t>Ведущий инженер-энергетик</x:t>
  </x:si>
  <x:si>
    <x:t>Ведущий инспектор по кадрам</x:t>
  </x:si>
  <x:si>
    <x:t>Ведущий логистик</x:t>
  </x:si>
  <x:si>
    <x:t>Ведущий маркетолог</x:t>
  </x:si>
  <x:si>
    <x:t>Ведущий менеджер по логистике</x:t>
  </x:si>
  <x:si>
    <x:t>Ведущий менеджер по оптовым и В2В продажам</x:t>
  </x:si>
  <x:si>
    <x:t>Ведущий менеджер по развитию региональной дистрибуции</x:t>
  </x:si>
  <x:si>
    <x:t>Ведущий механик</x:t>
  </x:si>
  <x:si>
    <x:t>Ведущий микробиолог</x:t>
  </x:si>
  <x:si>
    <x:t>Ведущий ревизор</x:t>
  </x:si>
  <x:si>
    <x:t>Ведущий специалист</x:t>
  </x:si>
  <x:si>
    <x:t>Ведущий специалист по аналитике</x:t>
  </x:si>
  <x:si>
    <x:t>Ведущий специалист по аудиту маркетинговых услуг</x:t>
  </x:si>
  <x:si>
    <x:t>Ведущий специалист по безопасности</x:t>
  </x:si>
  <x:si>
    <x:t>Ведущий специалист по ветеринарии и кормлению животных</x:t>
  </x:si>
  <x:si>
    <x:t>Ведущий специалист по внешнеэкономической деятельности</x:t>
  </x:si>
  <x:si>
    <x:t>Ведущий специалист по государственной регистрации недвижимости</x:t>
  </x:si>
  <x:si>
    <x:t>Ведущий специалист по документообороту</x:t>
  </x:si>
  <x:si>
    <x:t>Ведущий специалист по закупкам</x:t>
  </x:si>
  <x:si>
    <x:t>Ведущий специалист по информационному обеспечению и документообороту</x:t>
  </x:si>
  <x:si>
    <x:t>Ведущий специалист по кадрам</x:t>
  </x:si>
  <x:si>
    <x:t>Ведущий специалист по охране труда и пожарной безопасности</x:t>
  </x:si>
  <x:si>
    <x:t>Ведущий специалист по подбору персонала</x:t>
  </x:si>
  <x:si>
    <x:t>Ведущий специалист по расследованиям</x:t>
  </x:si>
  <x:si>
    <x:t>Ведущий специалист по расчету рецептов</x:t>
  </x:si>
  <x:si>
    <x:t>Ведущий специалист по сбыту</x:t>
  </x:si>
  <x:si>
    <x:t>Ведущий специалист по сбыту и работе с клиентами</x:t>
  </x:si>
  <x:si>
    <x:t>Ведущий специалист по связям с общественностью</x:t>
  </x:si>
  <x:si>
    <x:t>Ведущий специалист по системам пропуска</x:t>
  </x:si>
  <x:si>
    <x:t>Ведущий специалист по строительству</x:t>
  </x:si>
  <x:si>
    <x:t>Ведущий специалист по таможенному оформлению</x:t>
  </x:si>
  <x:si>
    <x:t>Ведущий технолог</x:t>
  </x:si>
  <x:si>
    <x:t>Ведущий технолог по внедрению новых продуктов</x:t>
  </x:si>
  <x:si>
    <x:t>Ведущий товаровед</x:t>
  </x:si>
  <x:si>
    <x:t>Ведущий экономист</x:t>
  </x:si>
  <x:si>
    <x:t>Ведущий экономист по труду</x:t>
  </x:si>
  <x:si>
    <x:t>Ведущий экономист по ценообразованию</x:t>
  </x:si>
  <x:si>
    <x:t>Ведущий энергетик</x:t>
  </x:si>
  <x:si>
    <x:t>Ведущий юрисконсульт</x:t>
  </x:si>
  <x:si>
    <x:t>Менеджер по оптовым и b2b продажам</x:t>
  </x:si>
  <x:si>
    <x:t>Менеджер по работе с ключевыми клиентами</x:t>
  </x:si>
  <x:si>
    <x:t>Менеджер по развитию ключевых брендов</x:t>
  </x:si>
  <x:si>
    <x:t>08. Специалисты с предварительной квалификацией</x:t>
  </x:si>
  <x:si>
    <x:t>Инженер по организации эксплуатации и ремонту зданий и сооружений</x:t>
  </x:si>
  <x:si>
    <x:t>Инженер по подготовке производства</x:t>
  </x:si>
  <x:si>
    <x:t>Агроном -агрохимик</x:t>
  </x:si>
  <x:si>
    <x:t>Администратор системный</x:t>
  </x:si>
  <x:si>
    <x:t>Аналитик</x:t>
  </x:si>
  <x:si>
    <x:t>Аналитик по продажам</x:t>
  </x:si>
  <x:si>
    <x:t>Архитектор</x:t>
  </x:si>
  <x:si>
    <x:t>Бухгалтер</x:t>
  </x:si>
  <x:si>
    <x:t>Бухгалтер 1 категории</x:t>
  </x:si>
  <x:si>
    <x:t>Бухгалтер 2 категории</x:t>
  </x:si>
  <x:si>
    <x:t>Бухгалтер по сверкам</x:t>
  </x:si>
  <x:si>
    <x:t>Бухгалтер-кассир</x:t>
  </x:si>
  <x:si>
    <x:t>Бухгалтер-ревизор</x:t>
  </x:si>
  <x:si>
    <x:t>Ветеринарный врач</x:t>
  </x:si>
  <x:si>
    <x:t>Ветеринарный врач - микробиолог</x:t>
  </x:si>
  <x:si>
    <x:t>Ветеринарный врач 1 категории</x:t>
  </x:si>
  <x:si>
    <x:t>Ветеринарный врач 2 категории</x:t>
  </x:si>
  <x:si>
    <x:t>Ветеринарный врач-гинеколог</x:t>
  </x:si>
  <x:si>
    <x:t>Ветеринарный фельдшер 2 категории</x:t>
  </x:si>
  <x:si>
    <x:t>Врач-терапевт</x:t>
  </x:si>
  <x:si>
    <x:t>Геодезист</x:t>
  </x:si>
  <x:si>
    <x:t>Дизайнер</x:t>
  </x:si>
  <x:si>
    <x:t>Зоотехник</x:t>
  </x:si>
  <x:si>
    <x:t>Зоотехник 1 категории</x:t>
  </x:si>
  <x:si>
    <x:t>Инженер</x:t>
  </x:si>
  <x:si>
    <x:t>Инженер 1 категории</x:t>
  </x:si>
  <x:si>
    <x:t>Инженер видеооборудования</x:t>
  </x:si>
  <x:si>
    <x:t>Инженер по безопасности движения</x:t>
  </x:si>
  <x:si>
    <x:t>Инженер по входному контролю</x:t>
  </x:si>
  <x:si>
    <x:t>Инженер по входному контролю вспомогательного сырья и материалов</x:t>
  </x:si>
  <x:si>
    <x:t>Инженер по выпуску</x:t>
  </x:si>
  <x:si>
    <x:t>Инженер по качеству</x:t>
  </x:si>
  <x:si>
    <x:t>Инженер по качеству 1 категории</x:t>
  </x:si>
  <x:si>
    <x:t>Инженер по контрольно-измерительным приборам и средствам автоматики</x:t>
  </x:si>
  <x:si>
    <x:t>Инженер по материально-техническому снабжению</x:t>
  </x:si>
  <x:si>
    <x:t>Инженер по метрологии</x:t>
  </x:si>
  <x:si>
    <x:t>Инженер по метрологии 1 категории</x:t>
  </x:si>
  <x:si>
    <x:t>Инженер по микроклимату и вентиляции</x:t>
  </x:si>
  <x:si>
    <x:t>Инженер по наладке и испытаниям</x:t>
  </x:si>
  <x:si>
    <x:t>Инженер по нормированию труда</x:t>
  </x:si>
  <x:si>
    <x:t>Инженер по охране окружающей среды</x:t>
  </x:si>
  <x:si>
    <x:t>Инженер по охране окружающей среды 2 категории</x:t>
  </x:si>
  <x:si>
    <x:t>Инженер по охране труда</x:t>
  </x:si>
  <x:si>
    <x:t>Инженер по охране труда 1 категории</x:t>
  </x:si>
  <x:si>
    <x:t>Инженер по охране труда 2 категории</x:t>
  </x:si>
  <x:si>
    <x:t>Инженер по подготовке производства 2 категории</x:t>
  </x:si>
  <x:si>
    <x:t>Инженер по пожарной безопасности</x:t>
  </x:si>
  <x:si>
    <x:t>Инженер по проектно-сметной работе</x:t>
  </x:si>
  <x:si>
    <x:t>Инженер по проектно-сметной работе 1 категории</x:t>
  </x:si>
  <x:si>
    <x:t>Инженер по промышленной безопасности</x:t>
  </x:si>
  <x:si>
    <x:t>Инженер по ремонту</x:t>
  </x:si>
  <x:si>
    <x:t>Инженер по сметной работе</x:t>
  </x:si>
  <x:si>
    <x:t>Инженер по стандартизации</x:t>
  </x:si>
  <x:si>
    <x:t>Инженер по стандартизации и сертификации</x:t>
  </x:si>
  <x:si>
    <x:t>Инженер по стандартизации и сертификации 2 категории</x:t>
  </x:si>
  <x:si>
    <x:t>Инженер по технической эксплуатации вентиляционных систем и санитарно-технического оборудования 1 категории</x:t>
  </x:si>
  <x:si>
    <x:t>Инженер по холодильному оборудованию и вентиляции</x:t>
  </x:si>
  <x:si>
    <x:t>Инженер по эксплуатации и ремонту оборудования 1 категории</x:t>
  </x:si>
  <x:si>
    <x:t>Инженер по эксплуатации машинно-тракторного парка</x:t>
  </x:si>
  <x:si>
    <x:t>Инженер -электроник</x:t>
  </x:si>
  <x:si>
    <x:t>Инженер-лаборант</x:t>
  </x:si>
  <x:si>
    <x:t>Инженер-лаборант по сырью</x:t>
  </x:si>
  <x:si>
    <x:t>Инженер-механик</x:t>
  </x:si>
  <x:si>
    <x:t>Инженер-микробиолог</x:t>
  </x:si>
  <x:si>
    <x:t>Инженер-программист</x:t>
  </x:si>
  <x:si>
    <x:t>Инженер-радиолог 1 категории</x:t>
  </x:si>
  <x:si>
    <x:t>Инженер-системотехник</x:t>
  </x:si>
  <x:si>
    <x:t>Инженер-технолог</x:t>
  </x:si>
  <x:si>
    <x:t>Инженер-химик</x:t>
  </x:si>
  <x:si>
    <x:t xml:space="preserve">Инженер-химик </x:t>
  </x:si>
  <x:si>
    <x:t>Инженер-химик 1 категории</x:t>
  </x:si>
  <x:si>
    <x:t>Инженер-экономист</x:t>
  </x:si>
  <x:si>
    <x:t>Инженер-электрик</x:t>
  </x:si>
  <x:si>
    <x:t>Инженер-электрик 1 категории</x:t>
  </x:si>
  <x:si>
    <x:t>Инженер-электрик 2 категории</x:t>
  </x:si>
  <x:si>
    <x:t>Инженер-энергетик</x:t>
  </x:si>
  <x:si>
    <x:t>Инспектор по кадрам</x:t>
  </x:si>
  <x:si>
    <x:t>Инструктор-методист по физкультурно-оздоровительной, спортивно-массовой работе</x:t>
  </x:si>
  <x:si>
    <x:t>Координатор отдела продаж</x:t>
  </x:si>
  <x:si>
    <x:t>Координатор управления сетевых продаж</x:t>
  </x:si>
  <x:si>
    <x:t>Логистик</x:t>
  </x:si>
  <x:si>
    <x:t>Маркетолог</x:t>
  </x:si>
  <x:si>
    <x:t>Маркетолог 1 категории</x:t>
  </x:si>
  <x:si>
    <x:t>Медицинская сестра</x:t>
  </x:si>
  <x:si>
    <x:t>Медицинская сестра по физиотерапии</x:t>
  </x:si>
  <x:si>
    <x:t>Механик</x:t>
  </x:si>
  <x:si>
    <x:t>Механик по выпуску транспорта</x:t>
  </x:si>
  <x:si>
    <x:t>Механик холодильных установок</x:t>
  </x:si>
  <x:si>
    <x:t>Микробиолог</x:t>
  </x:si>
  <x:si>
    <x:t>Микробиолог 1 категории</x:t>
  </x:si>
  <x:si>
    <x:t>Переводчик синхронный</x:t>
  </x:si>
  <x:si>
    <x:t>Системный аналитик</x:t>
  </x:si>
  <x:si>
    <x:t>Специалист</x:t>
  </x:si>
  <x:si>
    <x:t>Специалист 1 категории</x:t>
  </x:si>
  <x:si>
    <x:t>Специалист 2 категории</x:t>
  </x:si>
  <x:si>
    <x:t>Специалист по административно-хозяйственному обеспечению</x:t>
  </x:si>
  <x:si>
    <x:t>Специалист по актово-претензионной работе</x:t>
  </x:si>
  <x:si>
    <x:t>Специалист по анализу и обработке информации</x:t>
  </x:si>
  <x:si>
    <x:t>Специалист по анализу операционных показателей</x:t>
  </x:si>
  <x:si>
    <x:t>Специалист по аналитике</x:t>
  </x:si>
  <x:si>
    <x:t>Специалист по ветеринарии и кормлению</x:t>
  </x:si>
  <x:si>
    <x:t>Специалист по внешнеэкономической деятельности</x:t>
  </x:si>
  <x:si>
    <x:t>Специалист по внешнеэкономической деятельности 1 категории</x:t>
  </x:si>
  <x:si>
    <x:t>Специалист по внешнеэкономической деятельности 2 категории</x:t>
  </x:si>
  <x:si>
    <x:t>Специалист по вопросам гос.системы предупреждения и ликвидации чрезвычайных ситуаций и го</x:t>
  </x:si>
  <x:si>
    <x:t>Специалист по грузоперевозкам</x:t>
  </x:si>
  <x:si>
    <x:t>Специалист по документационному обеспечению</x:t>
  </x:si>
  <x:si>
    <x:t>Специалист по документообороту</x:t>
  </x:si>
  <x:si>
    <x:t>Специалист по закупкам</x:t>
  </x:si>
  <x:si>
    <x:t>Специалист по закупкам сырья</x:t>
  </x:si>
  <x:si>
    <x:t xml:space="preserve">Специалист по информационному обеспечению и документообороту </x:t>
  </x:si>
  <x:si>
    <x:t>Специалист по кадрам</x:t>
  </x:si>
  <x:si>
    <x:t>Специалист по кадрам 1 категории</x:t>
  </x:si>
  <x:si>
    <x:t>Специалист по кадрам 2 категории</x:t>
  </x:si>
  <x:si>
    <x:t>Специалист по кадровому делопроизводству</x:t>
  </x:si>
  <x:si>
    <x:t>Специалист по качеству</x:t>
  </x:si>
  <x:si>
    <x:t>Специалист по маркетингу</x:t>
  </x:si>
  <x:si>
    <x:t>Специалист по материально-техническому снабжению</x:t>
  </x:si>
  <x:si>
    <x:t>Специалист по охране труда</x:t>
  </x:si>
  <x:si>
    <x:t>Специалист по подбору персонала</x:t>
  </x:si>
  <x:si>
    <x:t>Специалист по подготовке и оперативному управлению производством</x:t>
  </x:si>
  <x:si>
    <x:t>Специалист по подготовке отчетности</x:t>
  </x:si>
  <x:si>
    <x:t>Специалист по правовой работе</x:t>
  </x:si>
  <x:si>
    <x:t>Специалист по продаже</x:t>
  </x:si>
  <x:si>
    <x:t>Специалист по продаже 1 категории</x:t>
  </x:si>
  <x:si>
    <x:t>Специалист по работе с клиентами</x:t>
  </x:si>
  <x:si>
    <x:t>Специалист по развитию и запуску торговли</x:t>
  </x:si>
  <x:si>
    <x:t>Специалист по расследованиям</x:t>
  </x:si>
  <x:si>
    <x:t>Специалист по сбыту и работе с клиентами</x:t>
  </x:si>
  <x:si>
    <x:t>Специалист по сопровождению программного обеспечения</x:t>
  </x:si>
  <x:si>
    <x:t>Специалист по таможенному декларированию</x:t>
  </x:si>
  <x:si>
    <x:t>Специалист по таможенному оформлению</x:t>
  </x:si>
  <x:si>
    <x:t>Специалист по торговому маркетингу</x:t>
  </x:si>
  <x:si>
    <x:t>Специалист по труду и заработной плате</x:t>
  </x:si>
  <x:si>
    <x:t>Специалист по ценным бумагам</x:t>
  </x:si>
  <x:si>
    <x:t>Специалст по труду и заработной плате</x:t>
  </x:si>
  <x:si>
    <x:t>Старший бухгалтер</x:t>
  </x:si>
  <x:si>
    <x:t>Старший инспектор по кадрам</x:t>
  </x:si>
  <x:si>
    <x:t>Технолог</x:t>
  </x:si>
  <x:si>
    <x:t>Товаровед</x:t>
  </x:si>
  <x:si>
    <x:t>Товаровед 2 категории</x:t>
  </x:si>
  <x:si>
    <x:t>Товаровед мелкой торговли</x:t>
  </x:si>
  <x:si>
    <x:t>Товаровед по работе с алкогольной и табачной продукцией</x:t>
  </x:si>
  <x:si>
    <x:t>Токсиколог</x:t>
  </x:si>
  <x:si>
    <x:t>Фельдшер</x:t>
  </x:si>
  <x:si>
    <x:t>Финансовый аналитик</x:t>
  </x:si>
  <x:si>
    <x:t>Химик</x:t>
  </x:si>
  <x:si>
    <x:t>Художник-модельер</x:t>
  </x:si>
  <x:si>
    <x:t>Экономист</x:t>
  </x:si>
  <x:si>
    <x:t>Экономист 1 категории</x:t>
  </x:si>
  <x:si>
    <x:t>Экономист 2 категории</x:t>
  </x:si>
  <x:si>
    <x:t>Экономист по аналитической работе</x:t>
  </x:si>
  <x:si>
    <x:t>Экономист по бюджету</x:t>
  </x:si>
  <x:si>
    <x:t>Экономист по договорной и претензионной работе</x:t>
  </x:si>
  <x:si>
    <x:t>Экономист по закупкам</x:t>
  </x:si>
  <x:si>
    <x:t>Экономист по труду</x:t>
  </x:si>
  <x:si>
    <x:t>Экономист по финансовой работе</x:t>
  </x:si>
  <x:si>
    <x:t>Энергетик</x:t>
  </x:si>
  <x:si>
    <x:t>Юрисконсульт</x:t>
  </x:si>
  <x:si>
    <x:t>Юрисконсульт 1 категории</x:t>
  </x:si>
  <x:si>
    <x:t>Юрисконсульт 2 категории</x:t>
  </x:si>
  <x:si>
    <x:t>09. Специалисты без предварительной квалификации</x:t>
  </x:si>
  <x:si>
    <x:t>Официант 3  разряда</x:t>
  </x:si>
  <x:si>
    <x:t>Охранник</x:t>
  </x:si>
  <x:si>
    <x:t>Пробоотборщик 1 разряда</x:t>
  </x:si>
  <x:si>
    <x:t>Администратор объекта мелкой торговли</x:t>
  </x:si>
  <x:si>
    <x:t>Архивариус</x:t>
  </x:si>
  <x:si>
    <x:t>Дежурный по торговому залу</x:t>
  </x:si>
  <x:si>
    <x:t>Нарядчик</x:t>
  </x:si>
  <x:si>
    <x:t>Секретарь приемной руководителя</x:t>
  </x:si>
  <x:si>
    <x:t>Старший охранник</x:t>
  </x:si>
  <x:si>
    <x:t>Табельщик</x:t>
  </x:si>
  <x:si>
    <x:t>Учетчик</x:t>
  </x:si>
  <x:si>
    <x:t>Агент торговый</x:t>
  </x:si>
  <x:si>
    <x:t>Агент торговый по ключевой рознице</x:t>
  </x:si>
  <x:si>
    <x:t>Администратор</x:t>
  </x:si>
  <x:si>
    <x:t>Администратор кафе</x:t>
  </x:si>
  <x:si>
    <x:t>Администратор торгового зала</x:t>
  </x:si>
  <x:si>
    <x:t>Диспетчер</x:t>
  </x:si>
  <x:si>
    <x:t>Диспетчер автомобильного транспорта</x:t>
  </x:si>
  <x:si>
    <x:t>Диспетчер по автомобильному транспорту</x:t>
  </x:si>
  <x:si>
    <x:t>Диспетчер по тракторной технике</x:t>
  </x:si>
  <x:si>
    <x:t>Диспетчер транспорта</x:t>
  </x:si>
  <x:si>
    <x:t>Инспектор пропускной системы</x:t>
  </x:si>
  <x:si>
    <x:t>Инструктор по физической культуре</x:t>
  </x:si>
  <x:si>
    <x:t>Кладовщик</x:t>
  </x:si>
  <x:si>
    <x:t>Лаборант</x:t>
  </x:si>
  <x:si>
    <x:t>Лаборант 1 категории</x:t>
  </x:si>
  <x:si>
    <x:t>Методист</x:t>
  </x:si>
  <x:si>
    <x:t>Оператор EDI</x:t>
  </x:si>
  <x:si>
    <x:t>Оператор склада</x:t>
  </x:si>
  <x:si>
    <x:t>Секретарь/секретарь-референт</x:t>
  </x:si>
  <x:si>
    <x:t>Секретарь приемной</x:t>
  </x:si>
  <x:si>
    <x:t>Секретарь приёмной</x:t>
  </x:si>
  <x:si>
    <x:t>Секретарь-референт</x:t>
  </x:si>
  <x:si>
    <x:t>Специалист клиентского сервиса</x:t>
  </x:si>
  <x:si>
    <x:t>Специалист по административно-хозяйственной деятельности</x:t>
  </x:si>
  <x:si>
    <x:t>Специалист по безопасности</x:t>
  </x:si>
  <x:si>
    <x:t>Специалист по выкладке товара</x:t>
  </x:si>
  <x:si>
    <x:t>Специалист по идентификации продукции</x:t>
  </x:si>
  <x:si>
    <x:t>Специалист по производственному учёту</x:t>
  </x:si>
  <x:si>
    <x:t>Специалист по системам пропуска</x:t>
  </x:si>
  <x:si>
    <x:t>Специалист сектора по обслуживанию клиентов</x:t>
  </x:si>
  <x:si>
    <x:t>Специалист системы контроля управления доступом</x:t>
  </x:si>
  <x:si>
    <x:t>Специалист склада</x:t>
  </x:si>
  <x:si>
    <x:t>Старший администратор</x:t>
  </x:si>
  <x:si>
    <x:t>Старший администратор торгового зала</x:t>
  </x:si>
  <x:si>
    <x:t>Старший диспетчер</x:t>
  </x:si>
  <x:si>
    <x:t>Старший оператор склада</x:t>
  </x:si>
  <x:si>
    <x:t>Техник</x:t>
  </x:si>
  <x:si>
    <x:t>Техник по планированию</x:t>
  </x:si>
  <x:si>
    <x:t>Техник по племенному делу</x:t>
  </x:si>
  <x:si>
    <x:t>Техник по эксплуатации и ремонту оборудования</x:t>
  </x:si>
  <x:si>
    <x:t>Техник по эксплуатации и ремонту оборудования 1 категории</x:t>
  </x:si>
  <x:si>
    <x:t>Технолог кондитерского участка</x:t>
  </x:si>
  <x:si>
    <x:t>Технолог кулинарного участка</x:t>
  </x:si>
  <x:si>
    <x:t>Торговый представитель</x:t>
  </x:si>
  <x:si>
    <x:t>Тренер</x:t>
  </x:si>
  <x:si>
    <x:t>11. Квалифицированные рабочие средних разрядов</x:t>
  </x:si>
  <x:si>
    <x:t>Аккумуляторщик 5 разряда</x:t>
  </x:si>
  <x:si>
    <x:t>Водитель автомобиля (Jetta) 5 разряда</x:t>
  </x:si>
  <x:si>
    <x:t>Водитель автомобиля (ВАЗ) 5 разряда</x:t>
  </x:si>
  <x:si>
    <x:t>Водитель автомобиля (Вольво) 5 разряда</x:t>
  </x:si>
  <x:si>
    <x:t>Водитель автомобиля (Газель) 5 разряда</x:t>
  </x:si>
  <x:si>
    <x:t>Водитель автомобиля (КАМАЗ) 5 разряда</x:t>
  </x:si>
  <x:si>
    <x:t>Водитель автомобиля (МАN) 5 разряда</x:t>
  </x:si>
  <x:si>
    <x:t>Водитель автомобиля (МАЗ) 4 разряда</x:t>
  </x:si>
  <x:si>
    <x:t>Водитель автомобиля (МАЗ) 5 разряда</x:t>
  </x:si>
  <x:si>
    <x:t>Водитель автомобиля (Мерседес Axor) 5 разряда</x:t>
  </x:si>
  <x:si>
    <x:t>Водитель автомобиля (Мерседес Актрос) 5 разряда</x:t>
  </x:si>
  <x:si>
    <x:t>Водитель автомобиля (Мерседес Бенц Спринтер) 4 разряда</x:t>
  </x:si>
  <x:si>
    <x:t>Водитель автомобиля (МКЗ) 5 разряда</x:t>
  </x:si>
  <x:si>
    <x:t>Водитель автомобиля (Нёман) 5 разряда</x:t>
  </x:si>
  <x:si>
    <x:t>Водитель автомобиля (РЕНО Премиум) 5 разряда</x:t>
  </x:si>
  <x:si>
    <x:t>Водитель автомобиля (Тайота) 4 разряда</x:t>
  </x:si>
  <x:si>
    <x:t xml:space="preserve">Водитель автомобиля (Шкода) 5 разряда </x:t>
  </x:si>
  <x:si>
    <x:t>Водитель автомобиля 1 класса 5 разряда</x:t>
  </x:si>
  <x:si>
    <x:t>Водитель автомобиля 2 класса 5 разряда</x:t>
  </x:si>
  <x:si>
    <x:t>Водитель автомобиля 3 класса 4 разряда</x:t>
  </x:si>
  <x:si>
    <x:t>Водитель автомобиля 3 класса 5 разряда</x:t>
  </x:si>
  <x:si>
    <x:t>Водитель автомобиля 4 разряда</x:t>
  </x:si>
  <x:si>
    <x:t>Водитель автомобиля 4 разряда 1 класса</x:t>
  </x:si>
  <x:si>
    <x:t>Водитель автомобиля 4 разряда 2 класса</x:t>
  </x:si>
  <x:si>
    <x:t>Водитель автомобиля 4 разряда 3 класса</x:t>
  </x:si>
  <x:si>
    <x:t>Водитель автомобиля 5 разряда</x:t>
  </x:si>
  <x:si>
    <x:t>Водитель автомобиля 5 разряда 1 класса</x:t>
  </x:si>
  <x:si>
    <x:t>Водитель автомобиля 5 разряда 2 класса</x:t>
  </x:si>
  <x:si>
    <x:t>Водитель автомобиля 5 разряда 3 класса</x:t>
  </x:si>
  <x:si>
    <x:t>Водитель погрузчика 5 разряда</x:t>
  </x:si>
  <x:si>
    <x:t>Вулканизаторщик 6 разряда</x:t>
  </x:si>
  <x:si>
    <x:t>Дежурный слесарь по КИПиА 4 разряда</x:t>
  </x:si>
  <x:si>
    <x:t>Дежурный слесарь-ремонтник 4 разряда</x:t>
  </x:si>
  <x:si>
    <x:t>Дежурный слесарь-ремонтник 5 разряда</x:t>
  </x:si>
  <x:si>
    <x:t>Жестянщик 5 разряда</x:t>
  </x:si>
  <x:si>
    <x:t>Закройщик 4 разряда</x:t>
  </x:si>
  <x:si>
    <x:t>Закройщик 5 разряда</x:t>
  </x:si>
  <x:si>
    <x:t>Каменщик 4 разряда</x:t>
  </x:si>
  <x:si>
    <x:t>Каменщик 5 разряда</x:t>
  </x:si>
  <x:si>
    <x:t>Кондитер 5 разряда</x:t>
  </x:si>
  <x:si>
    <x:t>Кондитер по производству кремовых изделий 5 разряда</x:t>
  </x:si>
  <x:si>
    <x:t>Контролёр-кассир 5 разряда</x:t>
  </x:si>
  <x:si>
    <x:t>Контролер-кассир 6 разряда</x:t>
  </x:si>
  <x:si>
    <x:t>Контролёр-кассир 6 разряда</x:t>
  </x:si>
  <x:si>
    <x:t>Кровельщик по рулонным кровлям и по кровлям из штучных материалов 4 разряда</x:t>
  </x:si>
  <x:si>
    <x:t>Кузнец на молотах и прессах 5 разряда</x:t>
  </x:si>
  <x:si>
    <x:t>Лаборант химического анализа 5 разряда</x:t>
  </x:si>
  <x:si>
    <x:t>Лаборант-микробиолог</x:t>
  </x:si>
  <x:si>
    <x:t>Лаборант-микробиолог 5 разряда</x:t>
  </x:si>
  <x:si>
    <x:t>Лаборант-радиометрист 5 разряда</x:t>
  </x:si>
  <x:si>
    <x:t>Маляр 4 разряд</x:t>
  </x:si>
  <x:si>
    <x:t>Маляр 4 разряда</x:t>
  </x:si>
  <x:si>
    <x:t>Маляр 5 разряд</x:t>
  </x:si>
  <x:si>
    <x:t>Маляр 5 разряда</x:t>
  </x:si>
  <x:si>
    <x:t>Машинист бульдозера 5 разряда</x:t>
  </x:si>
  <x:si>
    <x:t>Машинист зерновых погрузо-разгрузочных машин 4 разряда</x:t>
  </x:si>
  <x:si>
    <x:t>Машинист компрессорных установок 5 разряда</x:t>
  </x:si>
  <x:si>
    <x:t>Машинист холодильных установок 4 разряда</x:t>
  </x:si>
  <x:si>
    <x:t>Машинист холодильных установок 5 разряда</x:t>
  </x:si>
  <x:si>
    <x:t>Машинист экскаватора 5 разряда</x:t>
  </x:si>
  <x:si>
    <x:t>Монтажник санитарно-технических систем и оборудования 4 разряда</x:t>
  </x:si>
  <x:si>
    <x:t>Монтажник строительных конструкций 4 разряда</x:t>
  </x:si>
  <x:si>
    <x:t>Монтер пути 5 разряда</x:t>
  </x:si>
  <x:si>
    <x:t>Моторист бетоносмесительных установок 5 разряда</x:t>
  </x:si>
  <x:si>
    <x:t>Наладчик оборудования в производстве пищевой продукции 5 разряда</x:t>
  </x:si>
  <x:si>
    <x:t>Наладчик сельскохозяйственных машин и тракторов 4 разряда</x:t>
  </x:si>
  <x:si>
    <x:t>Облицовщик-плиточник 4 разряда</x:t>
  </x:si>
  <x:si>
    <x:t>Оператор котельной 4 разряда</x:t>
  </x:si>
  <x:si>
    <x:t>Оператор котельной 5 разряда</x:t>
  </x:si>
  <x:si>
    <x:t>Оператор котельной 6 разряда</x:t>
  </x:si>
  <x:si>
    <x:t>Оператор по искусственному осеменению животных и птицы 8 разряда</x:t>
  </x:si>
  <x:si>
    <x:t>Оператор ЭВМ</x:t>
  </x:si>
  <x:si>
    <x:t>Оператор электронно-вычислительных машин 5 разряда</x:t>
  </x:si>
  <x:si>
    <x:t>Пекарь 5 разряда</x:t>
  </x:si>
  <x:si>
    <x:t>Плотник 4 разряда</x:t>
  </x:si>
  <x:si>
    <x:t>Повар 5 разряда</x:t>
  </x:si>
  <x:si>
    <x:t>Помощник машиниста тепловоза 5 разряда</x:t>
  </x:si>
  <x:si>
    <x:t>Продавец</x:t>
  </x:si>
  <x:si>
    <x:t>Продавец 4 разряда</x:t>
  </x:si>
  <x:si>
    <x:t>Продавец 5 разряда</x:t>
  </x:si>
  <x:si>
    <x:t>Слесарь по контрольно-измерительным приборам и автоматике 4 разряда</x:t>
  </x:si>
  <x:si>
    <x:t>Слесарь по контрольно-измерительным приборам и автоматике 5 разряда</x:t>
  </x:si>
  <x:si>
    <x:t>Слесарь по обслуживанию и ремонту газоиспользующего оборудования 5 разряда</x:t>
  </x:si>
  <x:si>
    <x:t>Слесарь по обслуживанию и ремонту наружных газопроводов 4 разряда</x:t>
  </x:si>
  <x:si>
    <x:t>Слесарь по обслуживанию и ремонту наружных газопроводов 5 разряда</x:t>
  </x:si>
  <x:si>
    <x:t>Слесарь по обслуживанию тепловых сетей 4 разряда</x:t>
  </x:si>
  <x:si>
    <x:t>Слесарь по обслуживанию тепловых сетей 5 разряда</x:t>
  </x:si>
  <x:si>
    <x:t>Слесарь по ремонту автомобилей 4 разряда</x:t>
  </x:si>
  <x:si>
    <x:t>Слесарь по ремонту автомобилей 5 разряда</x:t>
  </x:si>
  <x:si>
    <x:t>Слесарь по ремонту и обслуживанию погрузочных машин 5 разряда</x:t>
  </x:si>
  <x:si>
    <x:t>Слесарь по ремонту и обслуживанию систем вентиляции и кондиционирования 5 разряда</x:t>
  </x:si>
  <x:si>
    <x:t>Слесарь по ремонту оборудования котельных и пылеприготовительных цехов 5 разряда</x:t>
  </x:si>
  <x:si>
    <x:t>Слесарь по ремонту подвижного состава 4 разряда</x:t>
  </x:si>
  <x:si>
    <x:t>Слесарь по ремонту сельскохозяйственных машин и оборудования 4 разряда</x:t>
  </x:si>
  <x:si>
    <x:t>Слесарь-ремонтник 4 разряда</x:t>
  </x:si>
  <x:si>
    <x:t>Слесарь-ремонтник 5 разрада</x:t>
  </x:si>
  <x:si>
    <x:t>Слесарь-ремонтник 5 разряда</x:t>
  </x:si>
  <x:si>
    <x:t>Слесарь-сантехник 4 разряда</x:t>
  </x:si>
  <x:si>
    <x:t>Слесарь-сантехник 5 разряда</x:t>
  </x:si>
  <x:si>
    <x:t>Слесарь-электрик по ремонту электрооборудования 5 разряда</x:t>
  </x:si>
  <x:si>
    <x:t>Столяр 4 разряд</x:t>
  </x:si>
  <x:si>
    <x:t>Столяр 4 разряда</x:t>
  </x:si>
  <x:si>
    <x:t>Столяр 5 разряд</x:t>
  </x:si>
  <x:si>
    <x:t>Столяр 5 разряда</x:t>
  </x:si>
  <x:si>
    <x:t>Токарь 5 разряда</x:t>
  </x:si>
  <x:si>
    <x:t>Тракторист 5 разряда</x:t>
  </x:si>
  <x:si>
    <x:t>Тракторист-машинист сельскохозяйственного производства</x:t>
  </x:si>
  <x:si>
    <x:t>Тракторист-машинист сельскохозяйственного производства 1 класса</x:t>
  </x:si>
  <x:si>
    <x:t>Тракторист-машинист сельскохозяйственного производства 2 класса</x:t>
  </x:si>
  <x:si>
    <x:t>Тракторист-машинист сельскохозяйственного производства 3 класса</x:t>
  </x:si>
  <x:si>
    <x:t>Тракторист-машинист сельскохозяйственного производства Второй</x:t>
  </x:si>
  <x:si>
    <x:t>Тракторист-машинист сельскохозяйственного производства Третий</x:t>
  </x:si>
  <x:si>
    <x:t>Фрезеровщик 4 разряда</x:t>
  </x:si>
  <x:si>
    <x:t>Швея 4 разряда</x:t>
  </x:si>
  <x:si>
    <x:t>Штукатур 5 разряда</x:t>
  </x:si>
  <x:si>
    <x:t>Электрогазосварщик 4 разряда</x:t>
  </x:si>
  <x:si>
    <x:t>Электрогазосварщик 5 разряда</x:t>
  </x:si>
  <x:si>
    <x:t>Электромеханик по лифтам 4 разряда</x:t>
  </x:si>
  <x:si>
    <x:t>Электромеханик по торговому и холодильному оборудованию 5 разряда</x:t>
  </x:si>
  <x:si>
    <x:t>Электромонтажник по кабельным сетям 5 разряда</x:t>
  </x:si>
  <x:si>
    <x:t>Электромонтажник по электрооборудованию силовым и осветительным сетям 4 разряда</x:t>
  </x:si>
  <x:si>
    <x:t>Электромонтажник по электрооборудованию силовым и осветительным сетям 5 разряда</x:t>
  </x:si>
  <x:si>
    <x:t>Электромонтер охранно-пожарной сигнализации 5 разряда</x:t>
  </x:si>
  <x:si>
    <x:t>Электромонтер по испытаниям и измерениям 5 разряда</x:t>
  </x:si>
  <x:si>
    <x:t>Электромонтёр по ремонту и обслуживанию электрооборудования 4 разряд</x:t>
  </x:si>
  <x:si>
    <x:t>Электромонтер по ремонту и обслуживанию электрооборудования 4 разряда</x:t>
  </x:si>
  <x:si>
    <x:t>Электромонтёр по ремонту и обслуживанию электрооборудования 5 разряд</x:t>
  </x:si>
  <x:si>
    <x:t>Электромонтер по ремонту и обслуживанию электрооборудования 5 разряда</x:t>
  </x:si>
  <x:si>
    <x:t>Электросварщик ручной сварки 4 разряда</x:t>
  </x:si>
  <x:si>
    <x:t>Электросварщик ручной сварки 5 разряда</x:t>
  </x:si>
  <x:si>
    <x:t>Электрослесарь по ремонту и обслуживанию оборудования 5 разряда</x:t>
  </x:si>
  <x:si>
    <x:t>11. Квалифицированные рабочие средних разрядов Итог</x:t>
  </x:si>
  <x:si>
    <x:t>13. Неквалифицированные рабочие с предварительным обучением</x:t>
  </x:si>
  <x:si>
    <x:t>Аппаратчик очистки сточных вод 4 разряда</x:t>
  </x:si>
  <x:si>
    <x:t>Аппаратчик очистки сточных вод 5 разряда</x:t>
  </x:si>
  <x:si>
    <x:t>Аппаратчик пастеризации</x:t>
  </x:si>
  <x:si>
    <x:t>Аппаратчик производства технической продукции</x:t>
  </x:si>
  <x:si>
    <x:t>Аппаратчик производства технической продукции 3 разряда</x:t>
  </x:si>
  <x:si>
    <x:t>Аппаратчик производства технической продукции 4 разряда</x:t>
  </x:si>
  <x:si>
    <x:t>Аппаратчик производства технической продукции 5 разряда</x:t>
  </x:si>
  <x:si>
    <x:t>Аппаратчик производства технической продукции 6 разряда</x:t>
  </x:si>
  <x:si>
    <x:t>Аппаратчик термической обработки мясопродуктов</x:t>
  </x:si>
  <x:si>
    <x:t>Аппаратчик термической обработки мясопродуктов 3 разряда</x:t>
  </x:si>
  <x:si>
    <x:t>Аппаратчик термической обработки мясопродуктов 5 разряда</x:t>
  </x:si>
  <x:si>
    <x:t>Аппаратчик термической обработки мясопродуктов 6 разряда</x:t>
  </x:si>
  <x:si>
    <x:t>Аппаратчик термической обработки субпродуктов 4 разряда</x:t>
  </x:si>
  <x:si>
    <x:t>Аппаратчик установки для отделения мяса от кости 5 разряда</x:t>
  </x:si>
  <x:si>
    <x:t>Аппаратчик химводоочистки 4 разряда</x:t>
  </x:si>
  <x:si>
    <x:t>Весовщик</x:t>
  </x:si>
  <x:si>
    <x:t>Весовщик 2 разряда</x:t>
  </x:si>
  <x:si>
    <x:t>Весовщик 3 разряда</x:t>
  </x:si>
  <x:si>
    <x:t>Весовщик 4 разряда</x:t>
  </x:si>
  <x:si>
    <x:t>Грузчик-комплектовщик</x:t>
  </x:si>
  <x:si>
    <x:t>Дезинфектор</x:t>
  </x:si>
  <x:si>
    <x:t>Дезинфектор 3 разряда</x:t>
  </x:si>
  <x:si>
    <x:t>Животновод 3 разряда</x:t>
  </x:si>
  <x:si>
    <x:t>Животновод 5 разряда</x:t>
  </x:si>
  <x:si>
    <x:t>Жиловщик мяса и субпродуктов 3 разряда</x:t>
  </x:si>
  <x:si>
    <x:t>Жиловщик мяса и субпродуктов 4 разряда</x:t>
  </x:si>
  <x:si>
    <x:t>Загрузчик-выгрузчик 3 разряда</x:t>
  </x:si>
  <x:si>
    <x:t>Засольщик мяса и мясопродуктов</x:t>
  </x:si>
  <x:si>
    <x:t>Засольщик мяса и мясопродуктов 3 разряда</x:t>
  </x:si>
  <x:si>
    <x:t>Засольщик мяса и мясопродуктов 5 разряда</x:t>
  </x:si>
  <x:si>
    <x:t>Изготовитель полуфабрикатов из мяса птицы</x:t>
  </x:si>
  <x:si>
    <x:t>Изготовитель полуфабрикатов из мяса птицы 4 разряда</x:t>
  </x:si>
  <x:si>
    <x:t>Кладовщик 4 разряда</x:t>
  </x:si>
  <x:si>
    <x:t>Кладовщик 5 разряда</x:t>
  </x:si>
  <x:si>
    <x:t>Кладовщик 6 разряда</x:t>
  </x:si>
  <x:si>
    <x:t>Комплектовщик 4 разряда</x:t>
  </x:si>
  <x:si>
    <x:t>Комплектовщик товаров 2 разряда</x:t>
  </x:si>
  <x:si>
    <x:t>Контролер пищевой продукции 3 разряда</x:t>
  </x:si>
  <x:si>
    <x:t>Контролер пищевой продукции 4 разряда</x:t>
  </x:si>
  <x:si>
    <x:t>Контролер пищевой продукции 5 разряда</x:t>
  </x:si>
  <x:si>
    <x:t>Маркировщик 2 разряда</x:t>
  </x:si>
  <x:si>
    <x:t>Машинист моечных машин</x:t>
  </x:si>
  <x:si>
    <x:t>Машинист моечных машин 3 разряда</x:t>
  </x:si>
  <x:si>
    <x:t>Машинист моечных машин 4 разряда</x:t>
  </x:si>
  <x:si>
    <x:t>Обвальщик мяса</x:t>
  </x:si>
  <x:si>
    <x:t>Обвальщик мяса 4 разряда</x:t>
  </x:si>
  <x:si>
    <x:t>Обвальщик мяса 5 разряда</x:t>
  </x:si>
  <x:si>
    <x:t>Обвальщик мяса 6 разряда</x:t>
  </x:si>
  <x:si>
    <x:t>Обвальщик тушек птицы 4 разряда</x:t>
  </x:si>
  <x:si>
    <x:t>Обмотчик элементов электрических машин 5 разряда</x:t>
  </x:si>
  <x:si>
    <x:t>Обработчик колбасных изделий 3 разряда</x:t>
  </x:si>
  <x:si>
    <x:t>Обработчик птицы</x:t>
  </x:si>
  <x:si>
    <x:t>Обработчик птицы 4 разряда</x:t>
  </x:si>
  <x:si>
    <x:t>Обработчик птицы 5 разряда</x:t>
  </x:si>
  <x:si>
    <x:t>Обработчик технологических емкостей и тары</x:t>
  </x:si>
  <x:si>
    <x:t>Обработчик технологических емкостей и тары 3 разряда</x:t>
  </x:si>
  <x:si>
    <x:t>Оператор дистанционного пульта управления в водопроводно-канализационном хозяйстве 4 разряда</x:t>
  </x:si>
  <x:si>
    <x:t>Оператор копировальных и множительных машин</x:t>
  </x:si>
  <x:si>
    <x:t>Оператор линии в производстве пищевой продукции</x:t>
  </x:si>
  <x:si>
    <x:t>Оператор линии в производстве пищевой продукции 4 разряда</x:t>
  </x:si>
  <x:si>
    <x:t>Оператор линии в производстве пищевой продукции 5 разряда</x:t>
  </x:si>
  <x:si>
    <x:t>Оператор линии в производстве пищевой продукции 6 разряда</x:t>
  </x:si>
  <x:si>
    <x:t>Оператор машинного доения 6 разряда</x:t>
  </x:si>
  <x:si>
    <x:t>Оператор моечно-очистительного агрегата</x:t>
  </x:si>
  <x:si>
    <x:t>Оператор прачечного оборудования</x:t>
  </x:si>
  <x:si>
    <x:t>Оператор процесса обработки зерна (прием)</x:t>
  </x:si>
  <x:si>
    <x:t>Оператор процесса обработки зерна (экструдирование)</x:t>
  </x:si>
  <x:si>
    <x:t>Оператор процесса обработки зерна 3 разряда</x:t>
  </x:si>
  <x:si>
    <x:t>Оператор процесса обработки зерна 6 разряда</x:t>
  </x:si>
  <x:si>
    <x:t>Оператор процесса переработки зерна (выбой комбикормов)</x:t>
  </x:si>
  <x:si>
    <x:t>Оператор процесса переработки зерна (выбой премиксов)</x:t>
  </x:si>
  <x:si>
    <x:t>Оператор процесса переработки зерна (гранулирование комбикормов)</x:t>
  </x:si>
  <x:si>
    <x:t>Оператор процесса переработки зерна (дозирование микроэлементов и витаминов)</x:t>
  </x:si>
  <x:si>
    <x:t>Оператор процесса переработки зерна (дробление зернового сырья и дозирование компонентов)</x:t>
  </x:si>
  <x:si>
    <x:t>Оператор процесса переработки зерна (обслуживание транспортного оборудования)</x:t>
  </x:si>
  <x:si>
    <x:t>Оператор процесса переработки зерна (отгрузка комбикормов ж.д.)</x:t>
  </x:si>
  <x:si>
    <x:t>Оператор процесса переработки зерна (плющение зерна)</x:t>
  </x:si>
  <x:si>
    <x:t>Оператор процесса переработки зерна (прием жидких компон.)</x:t>
  </x:si>
  <x:si>
    <x:t>Оператор процесса переработки зерна 3 разряда</x:t>
  </x:si>
  <x:si>
    <x:t>Оператор процесса переработки зерна 4 разряда</x:t>
  </x:si>
  <x:si>
    <x:t>Оператор процесса переработки зерна 5 разряда</x:t>
  </x:si>
  <x:si>
    <x:t>Оператор птицефабрик и механизированных ферм</x:t>
  </x:si>
  <x:si>
    <x:t>Оператор птицефабрик и механизированных ферм 3 разряда</x:t>
  </x:si>
  <x:si>
    <x:t>Оператор птицефабрик и механизированных ферм 4 разряда</x:t>
  </x:si>
  <x:si>
    <x:t>Оператор птицефабрик и механизированных ферм 5 разряда</x:t>
  </x:si>
  <x:si>
    <x:t>Оператор птицефабрик и механизированных ферм 6 разряда</x:t>
  </x:si>
  <x:si>
    <x:t>Оператор пульта управления</x:t>
  </x:si>
  <x:si>
    <x:t>Оператор пульта управления (зернохранилище)</x:t>
  </x:si>
  <x:si>
    <x:t>Оператор пульта управления (основной пульт)</x:t>
  </x:si>
  <x:si>
    <x:t>Оператор пульта управления 4 разряда</x:t>
  </x:si>
  <x:si>
    <x:t>Оператор упаковочной машины</x:t>
  </x:si>
  <x:si>
    <x:t>Оператор упаковочной машины 3 разряда</x:t>
  </x:si>
  <x:si>
    <x:t>Подготовитель пищевого сырья и материалов 2 разряда</x:t>
  </x:si>
  <x:si>
    <x:t>Подготовитель пищевого сырья и материалов 3 разряда</x:t>
  </x:si>
  <x:si>
    <x:t>Приёмщик молочной продукции</x:t>
  </x:si>
  <x:si>
    <x:t>Просевальщик технической продукции 3 разряда</x:t>
  </x:si>
  <x:si>
    <x:t>Птицевод 3 разряда</x:t>
  </x:si>
  <x:si>
    <x:t>Птицевод 4 разряда</x:t>
  </x:si>
  <x:si>
    <x:t>Птицевод 5 разряда</x:t>
  </x:si>
  <x:si>
    <x:t>Рабочий по комплексному обслуживанию и ремонту зданий и сооружений</x:t>
  </x:si>
  <x:si>
    <x:t>Рабочий по комплексному обслуживанию и ремонту зданий и сооружений 3 разряда</x:t>
  </x:si>
  <x:si>
    <x:t>Рабочий по комплексному обслуживанию и ремонту зданий и сооружений 5 разряда</x:t>
  </x:si>
  <x:si>
    <x:t>Рабочий по уходу за животными</x:t>
  </x:si>
  <x:si>
    <x:t>Расфасовщик мясопродуктов</x:t>
  </x:si>
  <x:si>
    <x:t>Расфасовщик мясопродуктов 3 разряда</x:t>
  </x:si>
  <x:si>
    <x:t>Расфасовщик мясопродуктов 4 разряда</x:t>
  </x:si>
  <x:si>
    <x:t>Резчик мясопродуктов</x:t>
  </x:si>
  <x:si>
    <x:t>Резчик мясопродуктов 3 разряда</x:t>
  </x:si>
  <x:si>
    <x:t>Санитар ветеринарный</x:t>
  </x:si>
  <x:si>
    <x:t>Санитар ветеринарный 3 разряда</x:t>
  </x:si>
  <x:si>
    <x:t>Санитар ветеринарный 4 разряда</x:t>
  </x:si>
  <x:si>
    <x:t>Сепараторщик 4 разряда</x:t>
  </x:si>
  <x:si>
    <x:t>Силосник</x:t>
  </x:si>
  <x:si>
    <x:t>Слесарь по ремонту и обслуживанию оборудования</x:t>
  </x:si>
  <x:si>
    <x:t>Слесарь по ремонту и обслуживанию оборудования 3 разряда</x:t>
  </x:si>
  <x:si>
    <x:t>Слесарь по ремонту и обслуживанию оборудования 4 разряда</x:t>
  </x:si>
  <x:si>
    <x:t>Слесарь по ремонту и обслуживанию оборудования 5 разряда</x:t>
  </x:si>
  <x:si>
    <x:t>Слесарь по ремонту и обслуживанию оборудования 6 разряда</x:t>
  </x:si>
  <x:si>
    <x:t>Сортировщик в производстве пищевой продукции 1 разряда</x:t>
  </x:si>
  <x:si>
    <x:t>Сортировщик сырья, материалов и изделий</x:t>
  </x:si>
  <x:si>
    <x:t>Сортировщик тушек птицы и кроликов 5 разряда</x:t>
  </x:si>
  <x:si>
    <x:t>Составитель поездов 3 разряда</x:t>
  </x:si>
  <x:si>
    <x:t>Составитель смесей</x:t>
  </x:si>
  <x:si>
    <x:t>Составитель смесей 3 разряда</x:t>
  </x:si>
  <x:si>
    <x:t>Составитель фарша</x:t>
  </x:si>
  <x:si>
    <x:t>Составитель фарша 4 разряда</x:t>
  </x:si>
  <x:si>
    <x:t>Составитель фарша 6 разряда</x:t>
  </x:si>
  <x:si>
    <x:t>Станочник деревообрабатывающих станков 3 разряда</x:t>
  </x:si>
  <x:si>
    <x:t>Станочник деревообрабатывающих станков 4 разряда</x:t>
  </x:si>
  <x:si>
    <x:t>Старший кладовщик</x:t>
  </x:si>
  <x:si>
    <x:t>Старший кладовщик 5 разряда</x:t>
  </x:si>
  <x:si>
    <x:t>Старший кладовщик 6 разряда</x:t>
  </x:si>
  <x:si>
    <x:t>Старший оператор машинного доения 6 разряда</x:t>
  </x:si>
  <x:si>
    <x:t>Старший оператор птицефабрик и механизированных ферм 6 разряда</x:t>
  </x:si>
  <x:si>
    <x:t>Старший оператор упаковочной машины 3 разряда</x:t>
  </x:si>
  <x:si>
    <x:t>Старший санитар ветеринарный</x:t>
  </x:si>
  <x:si>
    <x:t>Сторож</x:t>
  </x:si>
  <x:si>
    <x:t>Сторож 3 разряда</x:t>
  </x:si>
  <x:si>
    <x:t>Сыродел 3 разряда</x:t>
  </x:si>
  <x:si>
    <x:t>Сыродел 4 разряда</x:t>
  </x:si>
  <x:si>
    <x:t>Сыродел-мастер 5 разрада</x:t>
  </x:si>
  <x:si>
    <x:t>Укладчик-упаковщик/комплектовщики</x:t>
  </x:si>
  <x:si>
    <x:t>Укладчик-упаковщик 2 разряда</x:t>
  </x:si>
  <x:si>
    <x:t>Укладчик-упаковщик 3 разряда</x:t>
  </x:si>
  <x:si>
    <x:t>Укладчик-упаковщик 4 разряда</x:t>
  </x:si>
  <x:si>
    <x:t>Формовщик колбасных изделий</x:t>
  </x:si>
  <x:si>
    <x:t>Формовщик колбасных изделий 3 разряда</x:t>
  </x:si>
  <x:si>
    <x:t>Формовщик колбасных изделий 4 разряда</x:t>
  </x:si>
  <x:si>
    <x:t>Формовщик колбасных изделий 5 разряда</x:t>
  </x:si>
  <x:si>
    <x:t>13. Неквалифицированные рабочие с предварительным обучением Итог</x:t>
  </x:si>
  <x:si>
    <x:t>14. Неквалифицированные рабочие без обучения</x:t>
  </x:si>
  <x:si>
    <x:t>Вахтер 2 разряда</x:t>
  </x:si>
  <x:si>
    <x:t>Грузчик</x:t>
  </x:si>
  <x:si>
    <x:t>Дворник</x:t>
  </x:si>
  <x:si>
    <x:t>Землекоп 2 разряда</x:t>
  </x:si>
  <x:si>
    <x:t>Истопник 2 разряда</x:t>
  </x:si>
  <x:si>
    <x:t>Кастелянша 3 разряда</x:t>
  </x:si>
  <x:si>
    <x:t>Контролер на контрольно-пропускном пункте</x:t>
  </x:si>
  <x:si>
    <x:t>Контролер на контрольно-пропускном пункте 4 разряда</x:t>
  </x:si>
  <x:si>
    <x:t>Контролер на контрольно-пропускном пункте 6 разряда</x:t>
  </x:si>
  <x:si>
    <x:t>Кухонный рабочий</x:t>
  </x:si>
  <x:si>
    <x:t>Кухонный рабочий 2 разряда</x:t>
  </x:si>
  <x:si>
    <x:t>Машинист по стирке и ремонту спецодежды 4 разряда</x:t>
  </x:si>
  <x:si>
    <x:t>Мойщик посуды</x:t>
  </x:si>
  <x:si>
    <x:t>Мойщик посуды 2 разряда</x:t>
  </x:si>
  <x:si>
    <x:t>Мойщик посуды и ампул 3 разряда</x:t>
  </x:si>
  <x:si>
    <x:t>Подсобный рабочий</x:t>
  </x:si>
  <x:si>
    <x:t>Подсобный рабочий 2 разряда</x:t>
  </x:si>
  <x:si>
    <x:t>Полевод</x:t>
  </x:si>
  <x:si>
    <x:t>Рабочий (машинист) по стирке и ремонту спецодежды 3 разряда</x:t>
  </x:si>
  <x:si>
    <x:t>Рабочий (машинист) по стирке и ремонту спецодежды 4 разряда</x:t>
  </x:si>
  <x:si>
    <x:t>Уборщик помещений (производственных, служебных) 2 разряда</x:t>
  </x:si>
  <x:si>
    <x:t>Уборщик производственных и служебных помещений</x:t>
  </x:si>
  <x:si>
    <x:t>Уборщик производственных помещений</x:t>
  </x:si>
  <x:si>
    <x:t>Уборщик производственных помещений 2 разряда</x:t>
  </x:si>
  <x:si>
    <x:t>Уборщик служебных помещений</x:t>
  </x:si>
  <x:si>
    <x:t>Уборщик служебных помещений 1 разряда</x:t>
  </x:si>
  <x:si>
    <x:t>Уборщик служебных помещений 2 разряда</x:t>
  </x:si>
  <x:si>
    <x:t>Уборщик территорий</x:t>
  </x:si>
  <x:si>
    <x:t>Уборщица</x:t>
  </x:si>
  <x:si>
    <x:t>Примечания по заполнению:</x:t>
  </x:si>
  <x:si>
    <x:t>1. Срез проводится только по г. Минск (если отсутствуют вакансии, можно взять вакансии по Минскому району, находящиеся в пределах 20 км).</x:t>
  </x:si>
  <x:si>
    <x: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x:t>
  </x:si>
  <x:si>
    <x:t>3. Максимальное количество значений по каждой должности/ профессии - 60 позиций.</x:t>
  </x:si>
  <x:si>
    <x:t>4. Заполняются только ячейки, не обозначенные другими цветами (остальные ячейки защищены от редактирования).</x:t>
  </x:si>
  <x:si>
    <x: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x:t>
  </x:si>
  <x:si>
    <x: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x:t>
  </x:si>
  <x:si>
    <x:t>7. "Спрос/ Предложение" - выбираются из списка.</x:t>
  </x:si>
  <x:si>
    <x:t>Показатель</x:t>
  </x:si>
  <x:si>
    <x:t>BYN NET</x:t>
  </x:si>
  <x:si>
    <x:t>BYN GROSS</x:t>
  </x:si>
  <x:si>
    <x:t>Стандартное отклонение</x:t>
  </x:si>
  <x:si>
    <x:t>Спрос</x:t>
  </x:si>
  <x:si>
    <x:t>Средняя</x:t>
  </x:si>
  <x:si>
    <x:t>Предложение</x:t>
  </x:si>
  <x:si>
    <x:t>10-й процентиль</x:t>
  </x:si>
  <x:si>
    <x:t>1-й квартиль</x:t>
  </x:si>
  <x:si>
    <x:t>Медиана</x:t>
  </x:si>
  <x:si>
    <x:t>3-й квартиль</x:t>
  </x:si>
  <x:si>
    <x:t>90-й процентиль</x:t>
  </x:si>
  <x:si>
    <x:t>Наименование предприятия/ ФИО соискателя (при наличии)</x:t>
  </x:si>
  <x:si>
    <x:t>Должность/ профессия</x:t>
  </x:si>
  <x:si>
    <x:t>Спрос/ предложение</x:t>
  </x:si>
  <x:si>
    <x:t>Сумма NET</x:t>
  </x:si>
  <x:si>
    <x:t>Сумма GROSS</x:t>
  </x:si>
  <x:si>
    <x:t>Кладовщик (ст.м. "Каменная Горка")11111</x:t>
  </x:si>
  <x:si>
    <x:t>Кладовщик11111</x:t>
  </x:si>
  <x:si>
    <x:t>Кладовщик22222</x:t>
  </x:si>
  <x:si>
    <x:t>Кладовщик22223</x:t>
  </x:si>
  <x:si>
    <x:t>Оператор склада1111</x:t>
  </x:si>
  <x:si>
    <x:t>Кладовщик (ст.м. "Каменная Горка")</x:t>
  </x:si>
  <x:si>
    <x:t>Кладовщик (Минск)</x:t>
  </x:si>
  <x:si>
    <x:t>Работник склада (Кладовщик)</x:t>
  </x:si>
  <x:si>
    <x:t>870,32</x:t>
  </x:si>
  <x:si>
    <x:t>Начальник склада/кладовщик</x:t>
  </x:si>
  <x:si>
    <x:t>Кладовщик/кладовщица</x:t>
  </x:si>
  <x:si>
    <x:t>Кладовщик по инвентаризации</x:t>
  </x:si>
  <x:si>
    <x:t>Кладовщик на склад брака в г. Минск</x:t>
  </x:si>
  <x:si>
    <x:t>Складской работник (Чехия)</x:t>
  </x:si>
  <x:si>
    <x:t>Кладовщик (работник склада бывших в употреблении автозапчастей)</x:t>
  </x:si>
  <x:si>
    <x:t>Работник склада/мерчендайзер</x:t>
  </x:si>
  <x:si>
    <x:t>Сборщик/комплектовщик-кладовщик</x:t>
  </x:si>
  <x:si>
    <x:t>Диспетчер-кладовщик</x:t>
  </x:si>
  <x:si>
    <x:t>1302,9</x:t>
  </x:si>
  <x:si>
    <x:t>Кладовщик-контролер</x:t>
  </x:si>
  <x:si>
    <x:t>Кладовщик на приёмку товара</x:t>
  </x:si>
  <x:si>
    <x:t>Заместитель заведующей складом/кладовщик</x:t>
  </x:si>
  <x:si>
    <x:t>756,8</x:t>
  </x:si>
  <x:si>
    <x:t>Слесарь-сантехник</x:t>
  </x:si>
  <x:si>
    <x:t>Укладчик-упаковщик/ Комплектовщик</x:t>
  </x:si>
  <x:si>
    <x:t>Официант</x:t>
  </x:si>
  <x:si>
    <x:t>Наименование уровня позиции</x:t>
  </x:si>
  <x:si>
    <x:t>Наименование должности/профессии</x:t>
  </x:si>
  <x:si>
    <x:t>Примечания</x:t>
  </x:si>
  <x:si>
    <x:t>Краткая характеристика</x:t>
  </x:si>
  <x:si>
    <x: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x:t>
  </x:si>
  <x:si>
    <x:t>Заместитель (генерального) директора</x:t>
  </x:si>
  <x:si>
    <x: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x:t>
  </x:si>
  <x:si>
    <x:t>Главный механик/ Главный энергетик</x:t>
  </x:si>
  <x:si>
    <x:t>Главный бухгалтер/ Главный экономист</x:t>
  </x:si>
  <x:si>
    <x:t>Средний менеджмент (A)</x:t>
  </x:si>
  <x:si>
    <x:t>Начальник департамента/Начальник управления (включающего в свой состав несколько структурных подразделений, н-р, отделов, секторов)</x:t>
  </x:si>
  <x:si>
    <x:t>Не включаем вакансии по УП и ИП. Включаем средние (от 100 до 500 чел.) и крупные (свыше 500 чел.) предприятия.</x:t>
  </x:si>
  <x:si>
    <x: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x:t>
  </x:si>
  <x:si>
    <x:t>Начальник службы (включающего в свой состав несколько структурных подразделений, н-р, отделов, секторов)</x:t>
  </x:si>
  <x:si>
    <x:t>Средний менеджмент (B)</x:t>
  </x:si>
  <x:si>
    <x:t>Начальник производства (включающего в свой состав несколько структурных подразделений, н-р, участков, цехов)</x:t>
  </x:si>
  <x:si>
    <x: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x:t>
  </x:si>
  <x:si>
    <x:t>Начальник цеха (включающего в свой состав несколько структурных подразделений, н-р, участков)</x:t>
  </x:si>
  <x:si>
    <x:t>Линейный менеджмент (A)</x:t>
  </x:si>
  <x:si>
    <x:t>Не включаем вакансии по УП и ИП. Включаем средние (от 100 до 500 чел.) и крупные (свыше 500 чел.) предприятия</x:t>
  </x:si>
  <x:si>
    <x: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x:t>
  </x:si>
  <x:si>
    <x:t>Начальник сектора/ группы/ бюро</x:t>
  </x:si>
  <x:si>
    <x:t>Линейный менеджмент (B)</x:t>
  </x:si>
  <x:si>
    <x:t>Начальник смены/ Мастер смены/  Старший смены</x:t>
  </x:si>
  <x:si>
    <x: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x:t>
  </x:si>
  <x:si>
    <x:t>Мастер участка (1 смена)/ Начальник участа (1 участок)/ Бригадир производственной бригады</x:t>
  </x:si>
  <x:si>
    <x:t>Заведующий магазином</x:t>
  </x:si>
  <x:si>
    <x:t>Продажи продуктов питания</x:t>
  </x:si>
  <x:si>
    <x:t>Ведущие специалисты</x:t>
  </x:si>
  <x:si>
    <x:t>Заместитель начальника отдела/ службы/ управления</x:t>
  </x:si>
  <x:si>
    <x: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x:t>
  </x:si>
  <x:si>
    <x:t>Заместитель главного бухгалтера/ Ведущий бухгалтер</x:t>
  </x:si>
  <x:si>
    <x:t>Ведущий инженер/ Ведущий экономист</x:t>
  </x:si>
  <x:si>
    <x:t>Менеджер по продажам/ Супервайзер</x:t>
  </x:si>
  <x:si>
    <x:t>Специалисты с предварительной квалификацией</x:t>
  </x:si>
  <x:si>
    <x: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x:t>
  </x:si>
  <x:si>
    <x: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x:t>
  </x:si>
  <x:si>
    <x:t>Инженер по метрологии/ по охране труда/ по сметной работе/ инженер-химик (лаборатории)</x:t>
  </x:si>
  <x:si>
    <x:t>Инженер-электроник/ инженер по КИПиА/ инженер по холодильному оборудованию/ инженер-механик</x:t>
  </x:si>
  <x:si>
    <x:t>Специалист по закупкам/ по внешнеэкономической деятельности/ по таможенному оформлению</x:t>
  </x:si>
  <x:si>
    <x:t>Специалист по подбору персонала (за исключанием массового подбора)/ Специалист по кадрам/ Инженер по нормированию труда</x:t>
  </x:si>
  <x:si>
    <x:t>Экономист/ Экономист по труду</x:t>
  </x:si>
  <x:si>
    <x:t>Специалист по выписке накладных (бухгалтер на ввод первичной документации)</x:t>
  </x:si>
  <x:si>
    <x:t>Логистика (Склад)</x:t>
  </x:si>
  <x:si>
    <x:t>Специалисты без предварительной квалификации</x:t>
  </x:si>
  <x:si>
    <x: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x:t>
  </x:si>
  <x:si>
    <x:t>Мерчендайзер/ Специалист по выкладке товара</x:t>
  </x:si>
  <x:si>
    <x:t>Логистика</x:t>
  </x:si>
  <x:si>
    <x:t>Техник/ Табельщик</x:t>
  </x:si>
  <x:si>
    <x:t>Специалист по документационному обеспечению/ Специалист по документообороту</x:t>
  </x:si>
  <x:si>
    <x:t>Квалифицированные рабочие средних разрядов</x:t>
  </x:si>
  <x:si>
    <x:t>Водитель автомобиля</x:t>
  </x:si>
  <x:si>
    <x: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x:t>
  </x:si>
  <x:si>
    <x:t>Слесарь-ремонтник</x:t>
  </x:si>
  <x:si>
    <x:t>Электрогазосварщик</x:t>
  </x:si>
  <x:si>
    <x:t>Электромонтер охранно-пожарной сигнализации/ по видеообоудованию</x:t>
  </x:si>
  <x:si>
    <x:t>Электромонтер по ремонту и обслуживанию электрооборудования</x:t>
  </x:si>
  <x:si>
    <x:t>Слесарь по КИПиА/ Слесарь по холодильному оборудованию/ Монтажник оборудования</x:t>
  </x:si>
  <x:si>
    <x:t>Лаборант ХАЛ</x:t>
  </x:si>
  <x:si>
    <x:t>Повар</x:t>
  </x:si>
  <x:si>
    <x:t>Берем тех, кто работают на нескольких процессах</x:t>
  </x:si>
  <x:si>
    <x:t>Неквалифицированные рабочие с предварительным обучением</x:t>
  </x:si>
  <x:si>
    <x: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x:t>
  </x:si>
  <x:si>
    <x:t>Общественное питание</x:t>
  </x:si>
  <x:si>
    <x:t>Неквалифицированные рабочие без обучения</x:t>
  </x:si>
  <x:si>
    <x: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x:t>
  </x:si>
  <x:si>
    <x:t>Уборщик служебных (или производственных) помещений/ Уборщик территорий</x:t>
  </x:si>
  <x:si>
    <x:t>PRIMUM</x:t>
  </x:si>
  <x:si>
    <x:t>Группа Компаний Армтек</x:t>
  </x:si>
  <x:si>
    <x:t>Торговая сеть «СПОРТМАСТЕР» (Беларусь)</x:t>
  </x:si>
  <x:si>
    <x:t>ТУТ и ТАМ Логистикс</x:t>
  </x:si>
  <x:si>
    <x:t>ООО Сэльвин</x:t>
  </x:si>
  <x:si>
    <x:t>ООО Хаммерсмит</x:t>
  </x:si>
  <x:si>
    <x:t>ООО Гринвет групп</x:t>
  </x:si>
  <x:si>
    <x:t>СпецТракСервис</x:t>
  </x:si>
  <x:si>
    <x:t>Чистый берег</x:t>
  </x:si>
  <x:si>
    <x:t>ООО Суфле</x:t>
  </x:si>
  <x:si>
    <x:t>ООО Автоспейс</x:t>
  </x:si>
  <x:si>
    <x:t>ООО ФАРМПРОЕКТ</x:t>
  </x:si>
  <x:si>
    <x:t>ООО Гуалапак БиУай</x:t>
  </x:si>
  <x:si>
    <x:t>WILDBERRIES</x:t>
  </x:si>
  <x:si>
    <x:t>Брититрейд</x:t>
  </x:si>
  <x:si>
    <x:t>ИООО Харды тулс</x:t>
  </x:si>
  <x:si>
    <x:t>Мотехсавтозапчасти</x:t>
  </x:si>
  <x:si>
    <x:t>21vek.by</x:t>
  </x:si>
  <x:si>
    <x:t>ООО Манувиа БЕЛ</x:t>
  </x:si>
  <x:si>
    <x:t>АвтоСтронг-М</x:t>
  </x:si>
  <x:si>
    <x:t>ООО УМС Холд</x:t>
  </x:si>
  <x:si>
    <x:t>ООО Глобал Сервис Интернешинал</x:t>
  </x:si>
  <x:si>
    <x:t>ОАО Белэнергоремналадка</x:t>
  </x:si>
  <x:si>
    <x:t>ЗАО ПАТИО (сеть магазинов 5 ЭЛЕМЕНТ)</x:t>
  </x:si>
  <x:si>
    <x:t>ООО Сиванабел</x:t>
  </x:si>
  <x:si>
    <x:t>ООО ТД Комплект</x:t>
  </x:si>
  <x:si>
    <x:t>ООО Санта Ритейл</x:t>
  </x:si>
  <x:si>
    <x:t>ОАО Ферейн</x:t>
  </x:si>
  <x:si>
    <x:t>ЭЛЕКА, сеть магазинов</x:t>
  </x:si>
  <x:si>
    <x:t>PRI</x:t>
  </x:si>
  <x:si>
    <x:t>Группа  Армтек</x:t>
  </x:si>
  <x:si>
    <x:t>«СПОРТМАСТЕР» (Беларусь)</x:t>
  </x:si>
  <x:si>
    <x:t>ТУТ  Логистикс</x:t>
  </x:si>
  <x:si>
    <x:t>О вин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</x:si>
</x:sst>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>
    <x:font>
      <x:sz val="11"/>
      <x:color rgb="FF000000"/>
      <x:name val="Calibri"/>
      <x:charset val="1"/>
    </x:font>
    <x:font>
      <x:sz val="10"/>
      <x:name val="Arial Cyr"/>
      <x:charset val="204"/>
    </x:font>
    <x:font>
      <x:sz val="10"/>
      <x:name val="Times New Roman"/>
      <x:family val="1"/>
      <x:charset val="204"/>
    </x:font>
    <x:font>
      <x:sz val="11"/>
      <x:name val="Franklin Gothic Book"/>
      <x:family val="2"/>
      <x:charset val="204"/>
    </x:font>
    <x:font>
      <x:u/>
      <x:sz val="11"/>
      <x:color theme="10"/>
      <x:name val="Calibri"/>
      <x:charset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  <x:bgColor rgb="FFEDEDED"/>
      </x:patternFill>
    </x:fill>
    <x:fill>
      <x:patternFill patternType="solid">
        <x:fgColor rgb="FFEDEDED"/>
        <x:bgColor rgb="FFE2F0D9"/>
      </x:patternFill>
    </x:fill>
    <x:fill>
      <x:patternFill patternType="solid">
        <x:fgColor rgb="FFC9C9C9"/>
        <x:bgColor rgb="FFCCCCFF"/>
      </x:patternFill>
    </x:fill>
  </x:fills>
  <x:borders count="15">
    <x:border>
      <x:left/>
      <x:right/>
      <x:top/>
      <x:bottom/>
      <x:diagonal/>
    </x:border>
    <x:border>
      <x:left style="thin">
        <x:color rgb="FF999999"/>
      </x:left>
      <x:right/>
      <x:top style="thin">
        <x:color rgb="FF999999"/>
      </x:top>
      <x:bottom/>
      <x:diagonal/>
    </x:border>
    <x:border>
      <x:left/>
      <x:right/>
      <x:top style="thin">
        <x:color rgb="FF999999"/>
      </x:top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/>
      <x:diagonal/>
    </x:border>
    <x:border>
      <x:left style="thin">
        <x:color rgb="FF999999"/>
      </x:left>
      <x:right/>
      <x:top style="thin">
        <x:color rgb="FFFFFFFF"/>
      </x:top>
      <x:bottom/>
      <x:diagonal/>
    </x:border>
    <x:border>
      <x:left style="thin">
        <x:color rgb="FF999999"/>
      </x:left>
      <x:right/>
      <x:top/>
      <x:bottom/>
      <x:diagonal/>
    </x:border>
    <x:border>
      <x:left style="thin">
        <x:color rgb="FF999999"/>
      </x:left>
      <x:right style="thin">
        <x:color rgb="FF999999"/>
      </x:right>
      <x:top/>
      <x:bottom/>
      <x:diagonal/>
    </x:border>
    <x:border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>
      <x:left style="thin">
        <x:color rgb="FFFFFFFF"/>
      </x:left>
      <x:right/>
      <x:top style="thin">
        <x:color rgb="FF999999"/>
      </x:top>
      <x:bottom style="thin">
        <x:color rgb="FF999999"/>
      </x:bottom>
      <x:diagonal/>
    </x:border>
    <x:border>
      <x:left/>
      <x:right/>
      <x:top style="thin">
        <x:color rgb="FF999999"/>
      </x:top>
      <x:bottom style="thin">
        <x:color rgb="FF999999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thin">
        <x:color rgb="FFFFFFFF"/>
      </x:left>
      <x:right/>
      <x:top style="thin">
        <x:color rgb="FF999999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63">
    <x:xf numFmtId="0" fontId="0" fillId="0" borderId="0"/>
    <x:xf numFmtId="0" fontId="1" fillId="0" borderId="0"/>
    <x:xf numFmtId="0" fontId="2" fillId="0" borderId="0">
      <x:alignment horizontal="center" vertical="center" wrapText="1"/>
    </x:xf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0" hidden="0"/>
    </x:xf>
    <x:xf numFmtId="0" fontId="3" fillId="3" borderId="14" applyNumberFormat="1" applyFill="0" applyBorder="1" applyAlignment="1" applyProtection="1">
      <x:protection locked="0" hidden="0"/>
    </x:xf>
    <x:xf numFmtId="0" fontId="3" fillId="3" borderId="14" applyNumberFormat="1" applyFill="0" applyBorder="1" applyAlignment="1" applyProtection="1">
      <x:protection locked="1" hidden="1"/>
    </x:xf>
    <x:xf numFmtId="0" fontId="3" fillId="0" borderId="0" applyNumberFormat="1" applyFill="1" applyBorder="0" applyAlignment="1" applyProtection="1">
      <x:protection locked="0" hidden="0"/>
    </x:xf>
    <x:xf numFmtId="0" fontId="3" fillId="3" borderId="12" applyNumberFormat="1" applyFill="0" applyBorder="1" applyAlignment="1" applyProtection="1">
      <x:protection locked="1" hidden="0"/>
    </x:xf>
    <x:xf numFmtId="0" fontId="3" fillId="3" borderId="13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2" fontId="3" fillId="3" borderId="14" applyNumberFormat="1" applyFill="0" applyBorder="1" applyAlignment="1" applyProtection="1">
      <x:protection locked="1" hidden="1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0" fontId="3" fillId="4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1"/>
    </x:xf>
    <x:xf numFmtId="0" fontId="4" fillId="0" borderId="14" applyNumberFormat="1" applyFill="1" applyBorder="1" applyAlignment="1" applyProtection="1">
      <x:protection locked="0" hidden="0"/>
    </x:xf>
    <x:xf numFmtId="0" fontId="3" fillId="3" borderId="14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14" applyNumberFormat="1" applyFill="0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3" fillId="3" borderId="13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4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0"/>
    </x:xf>
    <x:xf numFmtId="0" fontId="3" fillId="3" borderId="14" applyNumberFormat="1" applyFill="0" applyBorder="1" applyAlignment="1" applyProtection="1">
      <x:protection locked="1" hidden="1"/>
    </x:xf>
    <x:xf numFmtId="0" fontId="3" fillId="3" borderId="14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14" applyNumberFormat="1" applyFill="0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72">
    <x:xf numFmtId="0" fontId="0" fillId="0" borderId="0" xfId="0"/>
    <x:xf numFmtId="0" fontId="0" fillId="0" borderId="14" xfId="0" applyNumberFormat="1" applyFill="1" applyBorder="1" applyAlignment="1" applyProtection="1">
      <x:alignment horizontal="left" vertical="center" wrapText="1"/>
    </x:xf>
    <x:xf numFmtId="0" fontId="0" fillId="0" borderId="14" xfId="0" applyNumberFormat="1" applyFill="1" applyBorder="1" applyAlignment="1" applyProtection="1">
      <x:alignment horizontal="left" wrapText="1"/>
    </x:xf>
    <x:xf numFmtId="0" fontId="3" fillId="0" borderId="0" xfId="0" applyNumberFormat="1" applyFont="1" applyFill="1" applyAlignment="1" applyProtection="1">
      <x:alignment horizontal="left" wrapText="1"/>
      <x:protection locked="0"/>
    </x:xf>
    <x:xf numFmtId="0" fontId="0" fillId="0" borderId="14" xfId="0" applyNumberFormat="1" applyFill="1" applyBorder="1" applyAlignment="1" applyProtection="1">
      <x:alignment horizontal="left" vertical="center" wrapText="1"/>
    </x:xf>
    <x:xf numFmtId="0" fontId="0" fillId="0" borderId="1" xfId="0" applyNumberFormat="1" applyFill="1" applyBorder="1" applyAlignment="1" applyProtection="1"/>
    <x:xf numFmtId="0" fontId="0" fillId="0" borderId="2" xfId="0" applyNumberFormat="1" applyFill="1" applyBorder="1" applyAlignment="1" applyProtection="1"/>
    <x:xf numFmtId="0" fontId="0" fillId="0" borderId="3" xfId="0" applyNumberFormat="1" applyFill="1" applyBorder="1" applyAlignment="1" applyProtection="1"/>
    <x:xf numFmtId="0" fontId="0" fillId="0" borderId="4" xfId="0" applyNumberFormat="1" applyFill="1" applyBorder="1" applyAlignment="1" applyProtection="1"/>
    <x:xf numFmtId="0" fontId="0" fillId="0" borderId="5" xfId="0" applyNumberFormat="1" applyFill="1" applyBorder="1" applyAlignment="1" applyProtection="1"/>
    <x:xf numFmtId="0" fontId="0" fillId="0" borderId="6" xfId="0" applyNumberFormat="1" applyFill="1" applyBorder="1" applyAlignment="1" applyProtection="1"/>
    <x:xf numFmtId="0" fontId="0" fillId="0" borderId="7" xfId="0" applyNumberFormat="1" applyFill="1" applyBorder="1" applyAlignment="1" applyProtection="1"/>
    <x:xf numFmtId="0" fontId="0" fillId="0" borderId="8" xfId="0" applyNumberFormat="1" applyFill="1" applyBorder="1" applyAlignment="1" applyProtection="1"/>
    <x:xf numFmtId="0" fontId="0" fillId="0" borderId="9" xfId="0" applyNumberFormat="1" applyFill="1" applyBorder="1" applyAlignment="1" applyProtection="1"/>
    <x:xf numFmtId="0" fontId="0" fillId="0" borderId="10" xfId="0" applyNumberFormat="1" applyFill="1" applyBorder="1" applyAlignment="1" applyProtection="1"/>
    <x:xf numFmtId="0" fontId="0" fillId="0" borderId="11" xfId="0" applyNumberFormat="1" applyFill="1" applyBorder="1" applyAlignment="1" applyProtection="1"/>
    <x:xf numFmtId="0" fontId="3" fillId="0" borderId="14" xfId="0" applyNumberFormat="1" applyFont="1" applyFill="1" applyBorder="1" applyAlignment="1" applyProtection="1">
      <x:protection locked="0"/>
    </x:xf>
    <x:xf numFmtId="0" fontId="4" fillId="0" borderId="14" xfId="0" applyNumberFormat="1" applyFont="1" applyFill="1" applyBorder="1" applyAlignment="1" applyProtection="1">
      <x:protection locked="0"/>
    </x:xf>
    <x:xf numFmtId="0" fontId="0" fillId="0" borderId="14" xfId="0" applyNumberFormat="1" applyFill="1" applyBorder="1" applyAlignment="1" applyProtection="1">
      <x:alignment vertical="center"/>
    </x:xf>
    <x:xf numFmtId="0" fontId="0" fillId="0" borderId="14" xfId="0" applyNumberFormat="1" applyFill="1" applyBorder="1" applyAlignment="1" applyProtection="1">
      <x:alignment vertical="center" wrapText="1"/>
    </x:xf>
    <x:xf numFmtId="0" fontId="0" fillId="0" borderId="14" xfId="0" applyNumberFormat="1" applyFill="1" applyBorder="1" applyAlignment="1" applyProtection="1">
      <x:alignment horizontal="right" vertical="center"/>
    </x:xf>
    <x:xf numFmtId="0" fontId="0" fillId="0" borderId="0" xfId="0" applyNumberFormat="1" applyFill="1" applyAlignment="1" applyProtection="1"/>
    <x:xf numFmtId="0" fontId="0" fillId="2" borderId="5" xfId="0" applyNumberFormat="1" applyFill="1" applyBorder="1" applyAlignment="1" applyProtection="1"/>
    <x:xf numFmtId="0" fontId="0" fillId="2" borderId="0" xfId="0" applyNumberFormat="1" applyFill="1" applyAlignment="1" applyProtection="1"/>
    <x:xf numFmtId="0" fontId="0" fillId="2" borderId="1" xfId="0" applyNumberFormat="1" applyFill="1" applyBorder="1" applyAlignment="1" applyProtection="1"/>
    <x:xf numFmtId="0" fontId="3" fillId="3" borderId="14" xfId="0" applyNumberFormat="1" applyFont="1" applyFill="1" applyBorder="1" applyAlignment="1" applyProtection="1">
      <x:protection locked="0"/>
    </x:xf>
    <x:xf numFmtId="0" fontId="3" fillId="3" borderId="14" xfId="0" applyNumberFormat="1" applyFont="1" applyFill="1" applyBorder="1" applyAlignment="1" applyProtection="1">
      <x:protection hidden="1"/>
    </x:xf>
    <x:xf numFmtId="0" fontId="3" fillId="3" borderId="12" xfId="0" applyNumberFormat="1" applyFont="1" applyFill="1" applyBorder="1" applyAlignment="1" applyProtection="1"/>
    <x:xf numFmtId="0" fontId="3" fillId="3" borderId="13" xfId="0" applyNumberFormat="1" applyFont="1" applyFill="1" applyBorder="1" applyAlignment="1" applyProtection="1">
      <x:alignment horizontal="left"/>
    </x:xf>
    <x:xf numFmtId="0" fontId="3" fillId="3" borderId="14" xfId="0" applyNumberFormat="1" applyFont="1" applyFill="1" applyBorder="1" applyAlignment="1" applyProtection="1">
      <x:alignment horizontal="center"/>
    </x:xf>
    <x:xf numFmtId="0" fontId="3" fillId="3" borderId="0" xfId="0" applyNumberFormat="1" applyFont="1" applyFill="1" applyAlignment="1" applyProtection="1"/>
    <x:xf numFmtId="2" fontId="3" fillId="3" borderId="14" xfId="0" applyNumberFormat="1" applyFont="1" applyFill="1" applyBorder="1" applyAlignment="1" applyProtection="1">
      <x:protection hidden="1"/>
    </x:xf>
    <x:xf numFmtId="0" fontId="3" fillId="0" borderId="0" xfId="0" applyNumberFormat="1" applyFont="1" applyFill="1" applyAlignment="1" applyProtection="1"/>
    <x:xf numFmtId="0" fontId="3" fillId="0" borderId="0" xfId="0" applyNumberFormat="1" applyFont="1" applyFill="1" applyAlignment="1" applyProtection="1">
      <x:alignment horizontal="right"/>
    </x:xf>
    <x:xf numFmtId="2" fontId="3" fillId="0" borderId="0" xfId="0" applyNumberFormat="1" applyFont="1" applyFill="1" applyAlignment="1" applyProtection="1"/>
    <x:xf numFmtId="0" fontId="3" fillId="4" borderId="14" xfId="0" applyNumberFormat="1" applyFont="1" applyFill="1" applyBorder="1" applyAlignment="1" applyProtection="1">
      <x:alignment horizontal="center" vertical="center" wrapText="1"/>
    </x:xf>
    <x:xf numFmtId="0" fontId="3" fillId="3" borderId="14" xfId="0" applyNumberFormat="1" applyFont="1" applyFill="1" applyBorder="1" applyAlignment="1" applyProtection="1">
      <x:alignment horizontal="center" vertical="center" wrapText="1"/>
    </x:xf>
    <x:xf numFmtId="0" fontId="3" fillId="3" borderId="14" xfId="0" applyNumberFormat="1" applyFont="1" applyFill="1" applyBorder="1" applyAlignment="1" applyProtection="1">
      <x:alignment horizontal="left" vertical="center" wrapText="1"/>
    </x:xf>
    <x:xf numFmtId="0" fontId="3" fillId="3" borderId="14" xfId="0" applyNumberFormat="1" applyFont="1" applyFill="1" applyBorder="1" applyAlignment="1" applyProtection="1">
      <x:alignment horizontal="center" vertical="center" wrapText="1"/>
      <x:protection hidden="1"/>
    </x:xf>
    <x:xf numFmtId="0" fontId="3" fillId="3" borderId="14" xfId="0" applyNumberFormat="1" applyFont="1" applyFill="1" applyBorder="1" applyAlignment="1" applyProtection="1"/>
    <x:xf numFmtId="0" fontId="3" fillId="3" borderId="14" xfId="0" applyNumberFormat="1" applyFont="1" applyFill="1" applyBorder="1" applyAlignment="1" applyProtection="1">
      <x:alignment wrapText="1"/>
    </x:xf>
    <x:xf numFmtId="0" fontId="3" fillId="0" borderId="0" xfId="0" applyNumberFormat="1" applyFont="1" applyFill="1" applyAlignment="1" applyProtection="1">
      <x:protection locked="0"/>
    </x:xf>
    <x:xf numFmtId="0" fontId="3" fillId="0" borderId="0" xfId="0" applyNumberFormat="1" applyFont="1" applyFill="1" applyAlignment="1" applyProtection="1">
      <x:alignment wrapText="1"/>
      <x:protection locked="0"/>
    </x:xf>
    <x:xf numFmtId="0" fontId="3" fillId="0" borderId="0" xfId="0" applyNumberFormat="1" applyFont="1" applyFill="1" applyAlignment="1" applyProtection="1">
      <x:alignment horizontal="center" vertical="center" wrapText="1"/>
      <x:protection locked="0"/>
    </x:xf>
    <x:xf numFmtId="0" fontId="0" fillId="3" borderId="14" xfId="0" applyNumberFormat="1" applyFill="1" applyBorder="1" applyAlignment="1" applyProtection="1">
      <x:alignment horizontal="center" vertical="center" wrapText="1"/>
    </x:xf>
    <x:xf numFmtId="0" fontId="0" fillId="0" borderId="0" xfId="0" applyNumberFormat="1" applyFill="1" applyAlignment="1" applyProtection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3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3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3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0" fontId="3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3">
    <x:cellStyle name="Обычный" xfId="0" builtinId="0"/>
    <x:cellStyle name="Обычный 2" xfId="1"/>
    <x:cellStyle name="Основной ШР" xfId="2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9C9C9"/>
      <x:rgbColor rgb="FF808080"/>
      <x:rgbColor rgb="FF9999FF"/>
      <x:rgbColor rgb="FF993366"/>
      <x:rgbColor rgb="FFEDEDE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22"/>
  <x:sheetViews>
    <x:sheetView workbookViewId="0">
      <x:selection activeCell="K37" sqref="K37 K37:K37"/>
    </x:sheetView>
  </x:sheetViews>
  <x:sheetFormatPr defaultColWidth="13.561875" defaultRowHeight="15"/>
  <x:cols>
    <x:col min="1" max="1" width="29.140625" style="46" customWidth="1"/>
    <x:col min="2" max="2" width="58.285156" style="46" customWidth="1"/>
  </x:cols>
  <x:sheetData>
    <x:row r="1" spans="1:19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5" t="s">
        <x:v>19</x:v>
      </x:c>
      <x:c r="B2" s="5" t="s">
        <x:v>20</x:v>
      </x:c>
      <x:c r="C2" s="5" t="n">
        <x:v>1</x:v>
      </x:c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7" t="n">
        <x:v>1</x:v>
      </x:c>
    </x:row>
    <x:row r="3" spans="1:19">
      <x:c r="A3" s="8" t="s"/>
      <x:c r="B3" s="47" t="s">
        <x:v>21</x:v>
      </x:c>
      <x:c r="C3" s="9" t="n">
        <x:v>1</x:v>
      </x:c>
      <x:c r="D3" s="46" t="n">
        <x:v>1</x:v>
      </x:c>
      <x:c r="E3" s="46" t="n">
        <x:v>0.5</x:v>
      </x:c>
      <x:c r="F3" s="46" t="n">
        <x:v>1</x:v>
      </x:c>
      <x:c r="G3" s="46" t="n">
        <x:v>1</x:v>
      </x:c>
      <x:c r="H3" s="46" t="n">
        <x:v>1</x:v>
      </x:c>
      <x:c r="N3" s="46" t="n">
        <x:v>1</x:v>
      </x:c>
      <x:c r="O3" s="46" t="n">
        <x:v>1</x:v>
      </x:c>
      <x:c r="P3" s="46" t="n">
        <x:v>1</x:v>
      </x:c>
      <x:c r="Q3" s="46" t="n">
        <x:v>1</x:v>
      </x:c>
      <x:c r="R3" s="46" t="n">
        <x:v>1</x:v>
      </x:c>
      <x:c r="S3" s="10" t="n">
        <x:v>10.5</x:v>
      </x:c>
    </x:row>
    <x:row r="4" spans="1:19">
      <x:c r="A4" s="8" t="s"/>
      <x:c r="B4" s="9" t="s">
        <x:v>22</x:v>
      </x:c>
      <x:c r="C4" s="9" t="n">
        <x:v>1</x:v>
      </x:c>
      <x:c r="F4" s="46" t="n">
        <x:v>1</x:v>
      </x:c>
      <x:c r="H4" s="46" t="n">
        <x:v>2</x:v>
      </x:c>
      <x:c r="J4" s="46" t="n">
        <x:v>1</x:v>
      </x:c>
      <x:c r="P4" s="46" t="n">
        <x:v>1</x:v>
      </x:c>
      <x:c r="R4" s="46" t="n">
        <x:v>1</x:v>
      </x:c>
      <x:c r="S4" s="10" t="n">
        <x:v>7</x:v>
      </x:c>
    </x:row>
    <x:row r="5" spans="1:19">
      <x:c r="A5" s="8" t="s"/>
      <x:c r="B5" s="9" t="s">
        <x:v>23</x:v>
      </x:c>
      <x:c r="C5" s="9" t="n">
        <x:v>1</x:v>
      </x:c>
      <x:c r="E5" s="46" t="n">
        <x:v>0.5</x:v>
      </x:c>
      <x:c r="F5" s="46" t="n">
        <x:v>1</x:v>
      </x:c>
      <x:c r="G5" s="46" t="n">
        <x:v>1</x:v>
      </x:c>
      <x:c r="H5" s="46" t="n">
        <x:v>1</x:v>
      </x:c>
      <x:c r="I5" s="46" t="n">
        <x:v>1</x:v>
      </x:c>
      <x:c r="K5" s="46" t="n">
        <x:v>1</x:v>
      </x:c>
      <x:c r="N5" s="46" t="n">
        <x:v>1</x:v>
      </x:c>
      <x:c r="P5" s="46" t="n">
        <x:v>1</x:v>
      </x:c>
      <x:c r="S5" s="10" t="n">
        <x:v>8.5</x:v>
      </x:c>
    </x:row>
    <x:row r="6" spans="1:19">
      <x:c r="A6" s="8" t="s"/>
      <x:c r="B6" s="9" t="s">
        <x:v>24</x:v>
      </x:c>
      <x:c r="C6" s="9" t="s"/>
      <x:c r="H6" s="46" t="n">
        <x:v>1</x:v>
      </x:c>
      <x:c r="S6" s="10" t="n">
        <x:v>1</x:v>
      </x:c>
    </x:row>
    <x:row r="7" spans="1:19">
      <x:c r="A7" s="8" t="s"/>
      <x:c r="B7" s="9" t="s">
        <x:v>25</x:v>
      </x:c>
      <x:c r="C7" s="9" t="n">
        <x:v>1</x:v>
      </x:c>
      <x:c r="H7" s="46" t="n">
        <x:v>1</x:v>
      </x:c>
      <x:c r="S7" s="10" t="n">
        <x:v>2</x:v>
      </x:c>
    </x:row>
    <x:row r="8" spans="1:19">
      <x:c r="A8" s="8" t="s"/>
      <x:c r="B8" s="47" t="s">
        <x:v>26</x:v>
      </x:c>
      <x:c r="C8" s="9" t="s"/>
      <x:c r="E8" s="46" t="n">
        <x:v>0.75</x:v>
      </x:c>
      <x:c r="F8" s="46" t="n">
        <x:v>1</x:v>
      </x:c>
      <x:c r="N8" s="46" t="n">
        <x:v>0.25</x:v>
      </x:c>
      <x:c r="R8" s="46" t="n">
        <x:v>1</x:v>
      </x:c>
      <x:c r="S8" s="10" t="n">
        <x:v>3</x:v>
      </x:c>
    </x:row>
    <x:row r="9" spans="1:19">
      <x:c r="A9" s="8" t="s"/>
      <x:c r="B9" s="9" t="s">
        <x:v>27</x:v>
      </x:c>
      <x:c r="C9" s="9" t="n">
        <x:v>1</x:v>
      </x:c>
      <x:c r="F9" s="46" t="n">
        <x:v>1</x:v>
      </x:c>
      <x:c r="I9" s="46" t="n">
        <x:v>1</x:v>
      </x:c>
      <x:c r="R9" s="46" t="n">
        <x:v>1</x:v>
      </x:c>
      <x:c r="S9" s="10" t="n">
        <x:v>4</x:v>
      </x:c>
    </x:row>
    <x:row r="10" spans="1:19">
      <x:c r="A10" s="8" t="s"/>
      <x:c r="B10" s="47" t="s">
        <x:v>28</x:v>
      </x:c>
      <x:c r="C10" s="9" t="n">
        <x:v>1</x:v>
      </x:c>
      <x:c r="E10" s="46" t="n">
        <x:v>1</x:v>
      </x:c>
      <x:c r="N10" s="46" t="n">
        <x:v>1</x:v>
      </x:c>
      <x:c r="S10" s="10" t="n">
        <x:v>3</x:v>
      </x:c>
    </x:row>
    <x:row r="11" spans="1:19">
      <x:c r="A11" s="8" t="s"/>
      <x:c r="B11" s="9" t="s">
        <x:v>29</x:v>
      </x:c>
      <x:c r="C11" s="9" t="n">
        <x:v>1</x:v>
      </x:c>
      <x:c r="D11" s="46" t="n">
        <x:v>1</x:v>
      </x:c>
      <x:c r="E11" s="46" t="n">
        <x:v>0.25</x:v>
      </x:c>
      <x:c r="F11" s="46" t="n">
        <x:v>1</x:v>
      </x:c>
      <x:c r="G11" s="46" t="n">
        <x:v>1</x:v>
      </x:c>
      <x:c r="K11" s="46" t="n">
        <x:v>1</x:v>
      </x:c>
      <x:c r="N11" s="46" t="n">
        <x:v>0.75</x:v>
      </x:c>
      <x:c r="P11" s="46" t="n">
        <x:v>1</x:v>
      </x:c>
      <x:c r="R11" s="46" t="n">
        <x:v>1</x:v>
      </x:c>
      <x:c r="S11" s="10" t="n">
        <x:v>8</x:v>
      </x:c>
    </x:row>
    <x:row r="12" spans="1:19">
      <x:c r="A12" s="8" t="s"/>
      <x:c r="B12" s="47" t="s">
        <x:v>30</x:v>
      </x:c>
      <x:c r="C12" s="9" t="s"/>
      <x:c r="G12" s="46" t="n">
        <x:v>1</x:v>
      </x:c>
      <x:c r="S12" s="10" t="n">
        <x:v>1</x:v>
      </x:c>
    </x:row>
    <x:row r="13" spans="1:19">
      <x:c r="A13" s="8" t="s"/>
      <x:c r="B13" s="9" t="s">
        <x:v>31</x:v>
      </x:c>
      <x:c r="C13" s="9" t="s"/>
      <x:c r="K13" s="46" t="n">
        <x:v>1</x:v>
      </x:c>
      <x:c r="S13" s="10" t="n">
        <x:v>1</x:v>
      </x:c>
    </x:row>
    <x:row r="14" spans="1:19">
      <x:c r="A14" s="8" t="s"/>
      <x:c r="B14" s="9" t="s">
        <x:v>32</x:v>
      </x:c>
      <x:c r="C14" s="9" t="s"/>
      <x:c r="H14" s="46" t="n">
        <x:v>1</x:v>
      </x:c>
      <x:c r="S14" s="10" t="n">
        <x:v>1</x:v>
      </x:c>
    </x:row>
    <x:row r="15" spans="1:19">
      <x:c r="A15" s="8" t="s"/>
      <x:c r="B15" s="47" t="s">
        <x:v>33</x:v>
      </x:c>
      <x:c r="C15" s="9" t="n">
        <x:v>1</x:v>
      </x:c>
      <x:c r="S15" s="10" t="n">
        <x:v>1</x:v>
      </x:c>
    </x:row>
    <x:row r="16" spans="1:19">
      <x:c r="A16" s="8" t="s"/>
      <x:c r="B16" s="9" t="s">
        <x:v>34</x:v>
      </x:c>
      <x:c r="C16" s="9" t="n">
        <x:v>1</x:v>
      </x:c>
      <x:c r="D16" s="46" t="n">
        <x:v>1</x:v>
      </x:c>
      <x:c r="F16" s="46" t="n">
        <x:v>1</x:v>
      </x:c>
      <x:c r="S16" s="10" t="n">
        <x:v>3</x:v>
      </x:c>
    </x:row>
    <x:row r="17" spans="1:19">
      <x:c r="A17" s="8" t="s"/>
      <x:c r="B17" s="9" t="s">
        <x:v>35</x:v>
      </x:c>
      <x:c r="C17" s="9" t="s"/>
      <x:c r="H17" s="46" t="n">
        <x:v>1</x:v>
      </x:c>
      <x:c r="Q17" s="46" t="n">
        <x:v>12.5</x:v>
      </x:c>
      <x:c r="S17" s="10" t="n">
        <x:v>13.5</x:v>
      </x:c>
    </x:row>
    <x:row r="18" spans="1:19">
      <x:c r="A18" s="8" t="s"/>
      <x:c r="B18" s="47" t="s">
        <x:v>36</x:v>
      </x:c>
      <x:c r="C18" s="9" t="s"/>
      <x:c r="D18" s="46" t="n">
        <x:v>1</x:v>
      </x:c>
      <x:c r="F18" s="46" t="n">
        <x:v>1</x:v>
      </x:c>
      <x:c r="S18" s="10" t="n">
        <x:v>2</x:v>
      </x:c>
    </x:row>
    <x:row r="19" spans="1:19">
      <x:c r="A19" s="8" t="s"/>
      <x:c r="B19" s="9" t="s">
        <x:v>37</x:v>
      </x:c>
      <x:c r="C19" s="9" t="s"/>
      <x:c r="O19" s="46" t="n">
        <x:v>1</x:v>
      </x:c>
      <x:c r="S19" s="10" t="n">
        <x:v>1</x:v>
      </x:c>
    </x:row>
    <x:row r="20" spans="1:19">
      <x:c r="A20" s="8" t="s"/>
      <x:c r="B20" s="9" t="s">
        <x:v>38</x:v>
      </x:c>
      <x:c r="C20" s="9" t="s"/>
      <x:c r="G20" s="46" t="n">
        <x:v>1</x:v>
      </x:c>
      <x:c r="S20" s="10" t="n">
        <x:v>1</x:v>
      </x:c>
    </x:row>
    <x:row r="21" spans="1:19">
      <x:c r="A21" s="8" t="s"/>
      <x:c r="B21" s="5" t="s">
        <x:v>26</x:v>
      </x:c>
      <x:c r="C21" s="5" t="s"/>
      <x:c r="D21" s="6" t="n">
        <x:v>1</x:v>
      </x:c>
      <x:c r="E21" s="6" t="s"/>
      <x:c r="F21" s="6" t="s"/>
      <x:c r="G21" s="6" t="s"/>
      <x:c r="H21" s="6" t="s"/>
      <x:c r="I21" s="6" t="s"/>
      <x:c r="J21" s="6" t="s"/>
      <x:c r="K21" s="6" t="s"/>
      <x:c r="L21" s="6" t="s"/>
      <x:c r="M21" s="6" t="s"/>
      <x:c r="N21" s="6" t="s"/>
      <x:c r="O21" s="6" t="s"/>
      <x:c r="P21" s="6" t="s"/>
      <x:c r="Q21" s="6" t="s"/>
      <x:c r="R21" s="6" t="s"/>
      <x:c r="S21" s="7" t="n">
        <x:v>1</x:v>
      </x:c>
    </x:row>
    <x:row r="22" spans="1:19">
      <x:c r="A22" s="11" t="s">
        <x:v>18</x:v>
      </x:c>
      <x:c r="B22" s="12" t="s"/>
      <x:c r="C22" s="11" t="n">
        <x:v>20</x:v>
      </x:c>
      <x:c r="D22" s="13" t="n">
        <x:v>8</x:v>
      </x:c>
      <x:c r="E22" s="13" t="n">
        <x:v>7</x:v>
      </x:c>
      <x:c r="F22" s="13" t="n">
        <x:v>9</x:v>
      </x:c>
      <x:c r="G22" s="13" t="n">
        <x:v>8.3</x:v>
      </x:c>
      <x:c r="H22" s="13" t="n">
        <x:v>17</x:v>
      </x:c>
      <x:c r="I22" s="13" t="n">
        <x:v>2.5</x:v>
      </x:c>
      <x:c r="J22" s="13" t="n">
        <x:v>1</x:v>
      </x:c>
      <x:c r="K22" s="13" t="n">
        <x:v>4.75</x:v>
      </x:c>
      <x:c r="L22" s="13" t="n">
        <x:v>2.5</x:v>
      </x:c>
      <x:c r="M22" s="13" t="n">
        <x:v>2</x:v>
      </x:c>
      <x:c r="N22" s="13" t="n">
        <x:v>6.75</x:v>
      </x:c>
      <x:c r="O22" s="13" t="n">
        <x:v>5</x:v>
      </x:c>
      <x:c r="P22" s="13" t="n">
        <x:v>9</x:v>
      </x:c>
      <x:c r="Q22" s="13" t="n">
        <x:v>13.5</x:v>
      </x:c>
      <x:c r="R22" s="13" t="n">
        <x:v>6.5</x:v>
      </x:c>
      <x:c r="S22" s="14" t="n">
        <x:v>122.8</x:v>
      </x:c>
    </x:row>
    <x:row r="37" spans="1:19"/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J957"/>
  <x:sheetViews>
    <x:sheetView workbookViewId="0">
      <x:selection activeCell="K37" sqref="K37 K37:K37"/>
    </x:sheetView>
  </x:sheetViews>
  <x:sheetFormatPr defaultColWidth="19.42125" defaultRowHeight="15"/>
  <x:cols>
    <x:col min="1" max="1" width="25.710938" style="46" customWidth="1"/>
    <x:col min="2" max="2" width="48.570312" style="46" customWidth="1"/>
    <x:col min="3" max="22" width="8.570312" style="46" customWidth="1"/>
    <x:col min="23" max="1024" width="14.425781" style="46" customWidth="1"/>
  </x:cols>
  <x:sheetData>
    <x:row r="1" spans="1:1024">
      <x:c r="A1" s="46" t="s">
        <x:v>39</x:v>
      </x:c>
      <x:c r="C1" s="46" t="s">
        <x:v>40</x:v>
      </x:c>
    </x:row>
    <x:row r="2" spans="1:1024">
      <x:c r="A2" s="46" t="s">
        <x:v>0</x:v>
      </x:c>
      <x:c r="B2" s="46" t="s">
        <x:v>1</x:v>
      </x:c>
      <x:c r="C2" s="46" t="s">
        <x:v>2</x:v>
      </x:c>
      <x:c r="D2" s="46" t="s">
        <x:v>3</x:v>
      </x:c>
      <x:c r="E2" s="46" t="s">
        <x:v>4</x:v>
      </x:c>
      <x:c r="F2" s="46" t="s">
        <x:v>5</x:v>
      </x:c>
      <x:c r="G2" s="46" t="s">
        <x:v>6</x:v>
      </x:c>
      <x:c r="H2" s="46" t="s">
        <x:v>7</x:v>
      </x:c>
      <x:c r="I2" s="46" t="s">
        <x:v>8</x:v>
      </x:c>
      <x:c r="J2" s="46" t="s">
        <x:v>9</x:v>
      </x:c>
      <x:c r="K2" s="46" t="s">
        <x:v>10</x:v>
      </x:c>
      <x:c r="L2" s="46" t="s">
        <x:v>11</x:v>
      </x:c>
      <x:c r="M2" s="46" t="s">
        <x:v>12</x:v>
      </x:c>
      <x:c r="N2" s="46" t="s">
        <x:v>13</x:v>
      </x:c>
      <x:c r="O2" s="46" t="s">
        <x:v>41</x:v>
      </x:c>
      <x:c r="P2" s="46" t="s">
        <x:v>14</x:v>
      </x:c>
      <x:c r="Q2" s="46" t="s">
        <x:v>42</x:v>
      </x:c>
      <x:c r="R2" s="46" t="s">
        <x:v>15</x:v>
      </x:c>
      <x:c r="S2" s="46" t="s">
        <x:v>16</x:v>
      </x:c>
      <x:c r="T2" s="46" t="s">
        <x:v>43</x:v>
      </x:c>
      <x:c r="U2" s="46" t="s">
        <x:v>17</x:v>
      </x:c>
      <x:c r="V2" s="46" t="s">
        <x:v>18</x:v>
      </x:c>
    </x:row>
    <x:row r="3" spans="1:1024">
      <x:c r="A3" s="46" t="s">
        <x:v>44</x:v>
      </x:c>
      <x:c r="B3" s="48" t="s">
        <x:v>45</x:v>
      </x:c>
      <x:c r="M3" s="46" t="n">
        <x:v>6</x:v>
      </x:c>
      <x:c r="V3" s="46" t="n">
        <x:v>6</x:v>
      </x:c>
    </x:row>
    <x:row r="4" spans="1:1024">
      <x:c r="B4" s="48" t="s">
        <x:v>46</x:v>
      </x:c>
      <x:c r="C4" s="46" t="n">
        <x:v>23</x:v>
      </x:c>
      <x:c r="D4" s="46" t="n">
        <x:v>15</x:v>
      </x:c>
      <x:c r="E4" s="46" t="n">
        <x:v>21</x:v>
      </x:c>
      <x:c r="F4" s="46" t="n">
        <x:v>15</x:v>
      </x:c>
      <x:c r="G4" s="46" t="n">
        <x:v>3</x:v>
      </x:c>
      <x:c r="H4" s="46" t="n">
        <x:v>42</x:v>
      </x:c>
      <x:c r="I4" s="46" t="n">
        <x:v>2</x:v>
      </x:c>
      <x:c r="J4" s="46" t="n">
        <x:v>1</x:v>
      </x:c>
      <x:c r="K4" s="46" t="n">
        <x:v>2</x:v>
      </x:c>
      <x:c r="L4" s="46" t="n">
        <x:v>18</x:v>
      </x:c>
      <x:c r="U4" s="46" t="n">
        <x:v>21</x:v>
      </x:c>
      <x:c r="V4" s="46" t="n">
        <x:v>163</x:v>
      </x:c>
    </x:row>
    <x:row r="5" spans="1:1024">
      <x:c r="B5" s="46" t="s">
        <x:v>47</x:v>
      </x:c>
      <x:c r="C5" s="46" t="n">
        <x:v>1</x:v>
      </x:c>
      <x:c r="V5" s="46" t="n">
        <x:v>1</x:v>
      </x:c>
    </x:row>
    <x:row r="6" spans="1:1024">
      <x:c r="B6" s="46" t="s">
        <x:v>32</x:v>
      </x:c>
      <x:c r="H6" s="46" t="n">
        <x:v>1</x:v>
      </x:c>
      <x:c r="V6" s="46" t="n">
        <x:v>1</x:v>
      </x:c>
    </x:row>
    <x:row r="7" spans="1:1024">
      <x:c r="B7" s="48" t="s">
        <x:v>48</x:v>
      </x:c>
      <x:c r="C7" s="46" t="n">
        <x:v>14</x:v>
      </x:c>
      <x:c r="D7" s="46" t="n">
        <x:v>1</x:v>
      </x:c>
      <x:c r="E7" s="46" t="n">
        <x:v>3.75</x:v>
      </x:c>
      <x:c r="F7" s="46" t="n">
        <x:v>2.5</x:v>
      </x:c>
      <x:c r="H7" s="46" t="n">
        <x:v>13</x:v>
      </x:c>
      <x:c r="K7" s="46" t="n">
        <x:v>1</x:v>
      </x:c>
      <x:c r="N7" s="46" t="n">
        <x:v>0.25</x:v>
      </x:c>
      <x:c r="S7" s="46" t="n">
        <x:v>15</x:v>
      </x:c>
      <x:c r="V7" s="46" t="n">
        <x:v>50.5</x:v>
      </x:c>
    </x:row>
    <x:row r="8" spans="1:1024">
      <x:c r="B8" s="46" t="s">
        <x:v>33</x:v>
      </x:c>
      <x:c r="E8" s="46" t="n">
        <x:v>1</x:v>
      </x:c>
      <x:c r="K8" s="46" t="n">
        <x:v>1</x:v>
      </x:c>
      <x:c r="V8" s="46" t="n">
        <x:v>2</x:v>
      </x:c>
    </x:row>
    <x:row r="9" spans="1:1024">
      <x:c r="B9" s="48" t="s">
        <x:v>49</x:v>
      </x:c>
      <x:c r="C9" s="46" t="n">
        <x:v>6</x:v>
      </x:c>
      <x:c r="F9" s="46" t="n">
        <x:v>1</x:v>
      </x:c>
      <x:c r="H9" s="46" t="n">
        <x:v>6</x:v>
      </x:c>
      <x:c r="S9" s="46" t="n">
        <x:v>5</x:v>
      </x:c>
      <x:c r="V9" s="46" t="n">
        <x:v>18</x:v>
      </x:c>
    </x:row>
    <x:row r="10" spans="1:1024">
      <x:c r="B10" s="46" t="s">
        <x:v>50</x:v>
      </x:c>
      <x:c r="C10" s="46" t="n">
        <x:v>1</x:v>
      </x:c>
      <x:c r="F10" s="46" t="n">
        <x:v>1</x:v>
      </x:c>
      <x:c r="H10" s="46" t="n">
        <x:v>1</x:v>
      </x:c>
      <x:c r="P10" s="46" t="n">
        <x:v>1</x:v>
      </x:c>
      <x:c r="V10" s="46" t="n">
        <x:v>4</x:v>
      </x:c>
    </x:row>
    <x:row r="11" spans="1:1024">
      <x:c r="B11" s="46" t="s">
        <x:v>34</x:v>
      </x:c>
      <x:c r="C11" s="46" t="n">
        <x:v>9</x:v>
      </x:c>
      <x:c r="D11" s="46" t="n">
        <x:v>1</x:v>
      </x:c>
      <x:c r="E11" s="46" t="n">
        <x:v>0.6</x:v>
      </x:c>
      <x:c r="H11" s="46" t="n">
        <x:v>6</x:v>
      </x:c>
      <x:c r="K11" s="46" t="n">
        <x:v>2</x:v>
      </x:c>
      <x:c r="L11" s="46" t="n">
        <x:v>1</x:v>
      </x:c>
      <x:c r="M11" s="46" t="n">
        <x:v>3</x:v>
      </x:c>
      <x:c r="N11" s="46" t="n">
        <x:v>3</x:v>
      </x:c>
      <x:c r="S11" s="46" t="n">
        <x:v>2</x:v>
      </x:c>
      <x:c r="V11" s="46" t="n">
        <x:v>27.6</x:v>
      </x:c>
    </x:row>
    <x:row r="12" spans="1:1024">
      <x:c r="B12" s="46" t="s">
        <x:v>51</x:v>
      </x:c>
      <x:c r="C12" s="46" t="n">
        <x:v>4</x:v>
      </x:c>
      <x:c r="H12" s="46" t="n">
        <x:v>4</x:v>
      </x:c>
      <x:c r="V12" s="46" t="n">
        <x:v>8</x:v>
      </x:c>
    </x:row>
    <x:row r="13" spans="1:1024">
      <x:c r="B13" s="46" t="s">
        <x:v>36</x:v>
      </x:c>
      <x:c r="C13" s="46" t="n">
        <x:v>9</x:v>
      </x:c>
      <x:c r="E13" s="46" t="n">
        <x:v>5.25</x:v>
      </x:c>
      <x:c r="F13" s="46" t="n">
        <x:v>1</x:v>
      </x:c>
      <x:c r="H13" s="46" t="n">
        <x:v>10.5</x:v>
      </x:c>
      <x:c r="I13" s="46" t="n">
        <x:v>1</x:v>
      </x:c>
      <x:c r="J13" s="46" t="n">
        <x:v>4</x:v>
      </x:c>
      <x:c r="K13" s="46" t="n">
        <x:v>2</x:v>
      </x:c>
      <x:c r="N13" s="46" t="n">
        <x:v>1</x:v>
      </x:c>
      <x:c r="R13" s="46" t="n">
        <x:v>1</x:v>
      </x:c>
      <x:c r="V13" s="46" t="n">
        <x:v>34.75</x:v>
      </x:c>
    </x:row>
    <x:row r="14" spans="1:1024">
      <x:c r="B14" s="46" t="s">
        <x:v>52</x:v>
      </x:c>
      <x:c r="C14" s="46" t="n">
        <x:v>7</x:v>
      </x:c>
      <x:c r="H14" s="46" t="n">
        <x:v>3</x:v>
      </x:c>
      <x:c r="V14" s="46" t="n">
        <x:v>10</x:v>
      </x:c>
    </x:row>
    <x:row r="15" spans="1:1024">
      <x:c r="B15" s="46" t="s">
        <x:v>53</x:v>
      </x:c>
      <x:c r="P15" s="46" t="n">
        <x:v>1</x:v>
      </x:c>
      <x:c r="V15" s="46" t="n">
        <x:v>1</x:v>
      </x:c>
    </x:row>
    <x:row r="16" spans="1:1024">
      <x:c r="B16" s="46" t="s">
        <x:v>54</x:v>
      </x:c>
      <x:c r="P16" s="46" t="n">
        <x:v>1</x:v>
      </x:c>
      <x:c r="V16" s="46" t="n">
        <x:v>1</x:v>
      </x:c>
    </x:row>
    <x:row r="17" spans="1:1024">
      <x:c r="B17" s="46" t="s">
        <x:v>55</x:v>
      </x:c>
      <x:c r="H17" s="46" t="n">
        <x:v>0.5</x:v>
      </x:c>
      <x:c r="V17" s="46" t="n">
        <x:v>0.5</x:v>
      </x:c>
    </x:row>
    <x:row r="18" spans="1:1024">
      <x:c r="B18" s="46" t="s">
        <x:v>56</x:v>
      </x:c>
      <x:c r="E18" s="46" t="n">
        <x:v>0.1</x:v>
      </x:c>
      <x:c r="V18" s="46" t="n">
        <x:v>0.1</x:v>
      </x:c>
    </x:row>
    <x:row r="19" spans="1:1024">
      <x:c r="B19" s="46" t="s">
        <x:v>57</x:v>
      </x:c>
      <x:c r="P19" s="46" t="n">
        <x:v>2</x:v>
      </x:c>
      <x:c r="V19" s="46" t="n">
        <x:v>2</x:v>
      </x:c>
    </x:row>
    <x:row r="20" spans="1:1024">
      <x:c r="B20" s="46" t="s">
        <x:v>58</x:v>
      </x:c>
      <x:c r="P20" s="46" t="n">
        <x:v>10</x:v>
      </x:c>
      <x:c r="V20" s="46" t="n">
        <x:v>10</x:v>
      </x:c>
    </x:row>
    <x:row r="21" spans="1:1024">
      <x:c r="A21" s="46" t="s">
        <x:v>18</x:v>
      </x:c>
      <x:c r="C21" s="46" t="n">
        <x:v>118.625</x:v>
      </x:c>
      <x:c r="D21" s="46" t="n">
        <x:v>21.2</x:v>
      </x:c>
      <x:c r="E21" s="46" t="n">
        <x:v>37.7</x:v>
      </x:c>
      <x:c r="F21" s="46" t="n">
        <x:v>30.6</x:v>
      </x:c>
      <x:c r="G21" s="46" t="n">
        <x:v>71</x:v>
      </x:c>
      <x:c r="H21" s="46" t="n">
        <x:v>148</x:v>
      </x:c>
      <x:c r="I21" s="46" t="n">
        <x:v>5</x:v>
      </x:c>
      <x:c r="J21" s="46" t="n">
        <x:v>10</x:v>
      </x:c>
      <x:c r="K21" s="46" t="n">
        <x:v>30</x:v>
      </x:c>
      <x:c r="L21" s="46" t="n">
        <x:v>21</x:v>
      </x:c>
      <x:c r="M21" s="46" t="n">
        <x:v>25</x:v>
      </x:c>
      <x:c r="N21" s="46" t="n">
        <x:v>10.75</x:v>
      </x:c>
      <x:c r="O21" s="46" t="n">
        <x:v>0.1</x:v>
      </x:c>
      <x:c r="P21" s="46" t="n">
        <x:v>27.5</x:v>
      </x:c>
      <x:c r="Q21" s="46" t="n">
        <x:v>1</x:v>
      </x:c>
      <x:c r="R21" s="46" t="n">
        <x:v>26</x:v>
      </x:c>
      <x:c r="S21" s="46" t="n">
        <x:v>26</x:v>
      </x:c>
      <x:c r="T21" s="46" t="n">
        <x:v>0.5</x:v>
      </x:c>
      <x:c r="U21" s="46" t="n">
        <x:v>41.725</x:v>
      </x:c>
      <x:c r="V21" s="46" t="n">
        <x:v>651.7</x:v>
      </x:c>
    </x:row>
    <x:row r="37" spans="1:1024"/>
    <x:row r="893" spans="1:1024" customFormat="1" ht="15" customHeight="1"/>
    <x:row r="894" spans="1:1024" customFormat="1" ht="15" customHeight="1"/>
    <x:row r="895" spans="1:1024" customFormat="1" ht="15" customHeight="1"/>
    <x:row r="896" spans="1:1024" customFormat="1" ht="15" customHeight="1"/>
    <x:row r="897" spans="1:1024" customFormat="1" ht="15" customHeight="1"/>
    <x:row r="898" spans="1:1024" customFormat="1" ht="15" customHeight="1"/>
    <x:row r="899" spans="1:1024" customFormat="1" ht="15" customHeight="1"/>
    <x:row r="900" spans="1:1024" customFormat="1" ht="15" customHeight="1"/>
    <x:row r="901" spans="1:1024" customFormat="1" ht="15" customHeight="1"/>
    <x:row r="902" spans="1:1024" customFormat="1" ht="15" customHeight="1"/>
    <x:row r="903" spans="1:1024" customFormat="1" ht="15" customHeight="1"/>
    <x:row r="904" spans="1:1024" customFormat="1" ht="15" customHeight="1"/>
    <x:row r="905" spans="1:1024" customFormat="1" ht="15" customHeight="1"/>
    <x:row r="906" spans="1:1024" customFormat="1" ht="15" customHeight="1"/>
    <x:row r="907" spans="1:1024" customFormat="1" ht="15" customHeight="1"/>
    <x:row r="908" spans="1:1024" customFormat="1" ht="15" customHeight="1"/>
    <x:row r="909" spans="1:1024" customFormat="1" ht="15" customHeight="1"/>
    <x:row r="910" spans="1:1024" customFormat="1" ht="15" customHeight="1"/>
    <x:row r="911" spans="1:1024" customFormat="1" ht="15" customHeight="1"/>
    <x:row r="912" spans="1:1024" customFormat="1" ht="15" customHeight="1"/>
    <x:row r="913" spans="1:1024" customFormat="1" ht="15" customHeight="1"/>
    <x:row r="914" spans="1:1024" customFormat="1" ht="15" customHeight="1"/>
    <x:row r="915" spans="1:1024" customFormat="1" ht="15" customHeight="1"/>
    <x:row r="916" spans="1:1024" customFormat="1" ht="15" customHeight="1"/>
    <x:row r="917" spans="1:1024" customFormat="1" ht="15" customHeight="1"/>
    <x:row r="918" spans="1:1024" customFormat="1" ht="15" customHeight="1"/>
    <x:row r="919" spans="1:1024" customFormat="1" ht="15" customHeight="1"/>
    <x:row r="920" spans="1:1024" customFormat="1" ht="15" customHeight="1"/>
    <x:row r="921" spans="1:1024" customFormat="1" ht="15" customHeight="1"/>
    <x:row r="922" spans="1:1024" customFormat="1" ht="15" customHeight="1"/>
    <x:row r="923" spans="1:1024" customFormat="1" ht="15" customHeight="1"/>
    <x:row r="924" spans="1:1024" customFormat="1" ht="15" customHeight="1"/>
    <x:row r="925" spans="1:1024" customFormat="1" ht="15" customHeight="1"/>
    <x:row r="926" spans="1:1024" customFormat="1" ht="15" customHeight="1"/>
    <x:row r="927" spans="1:1024" customFormat="1" ht="15" customHeight="1"/>
    <x:row r="928" spans="1:1024" customFormat="1" ht="15" customHeight="1"/>
    <x:row r="929" spans="1:1024" customFormat="1" ht="15" customHeight="1"/>
    <x:row r="930" spans="1:1024" customFormat="1" ht="15" customHeight="1"/>
    <x:row r="931" spans="1:1024" customFormat="1" ht="15" customHeight="1"/>
    <x:row r="932" spans="1:1024" customFormat="1" ht="15" customHeight="1"/>
    <x:row r="933" spans="1:1024" customFormat="1" ht="15" customHeight="1"/>
    <x:row r="934" spans="1:1024" customFormat="1" ht="15" customHeight="1"/>
    <x:row r="935" spans="1:1024" customFormat="1" ht="15" customHeight="1"/>
    <x:row r="936" spans="1:1024" customFormat="1" ht="15" customHeight="1"/>
    <x:row r="937" spans="1:1024" customFormat="1" ht="15" customHeight="1"/>
    <x:row r="938" spans="1:1024" customFormat="1" ht="15" customHeight="1"/>
    <x:row r="939" spans="1:1024" customFormat="1" ht="15" customHeight="1"/>
    <x:row r="940" spans="1:1024" customFormat="1" ht="15" customHeight="1"/>
    <x:row r="941" spans="1:1024" customFormat="1" ht="15" customHeight="1"/>
    <x:row r="942" spans="1:1024" customFormat="1" ht="15" customHeight="1"/>
    <x:row r="943" spans="1:1024" customFormat="1" ht="15" customHeight="1"/>
    <x:row r="944" spans="1:1024" customFormat="1" ht="15" customHeight="1"/>
    <x:row r="945" spans="1:1024" customFormat="1" ht="15" customHeight="1"/>
    <x:row r="946" spans="1:1024" customFormat="1" ht="15" customHeight="1"/>
    <x:row r="947" spans="1:1024" customFormat="1" ht="15" customHeight="1"/>
    <x:row r="948" spans="1:1024" customFormat="1" ht="15" customHeight="1"/>
    <x:row r="949" spans="1:1024" customFormat="1" ht="15" customHeight="1"/>
    <x:row r="950" spans="1:1024" customFormat="1" ht="15" customHeight="1"/>
    <x:row r="951" spans="1:1024" customFormat="1" ht="15" customHeight="1"/>
    <x:row r="952" spans="1:1024" customFormat="1" ht="15" customHeight="1"/>
    <x:row r="953" spans="1:1024" customFormat="1" ht="15" customHeight="1"/>
    <x:row r="954" spans="1:1024" customFormat="1" ht="15" customHeight="1"/>
    <x:row r="955" spans="1:1024" customFormat="1" ht="15" customHeight="1"/>
    <x:row r="956" spans="1:1024" customFormat="1" ht="15" customHeight="1"/>
    <x:row r="957" spans="1:1024" customFormat="1" ht="15" customHeight="1"/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124"/>
  <x:sheetViews>
    <x:sheetView topLeftCell="A76" workbookViewId="0">
      <x:selection activeCell="K37" sqref="K37 K37:K37"/>
    </x:sheetView>
  </x:sheetViews>
  <x:sheetFormatPr defaultColWidth="13.561875" defaultRowHeight="15"/>
  <x:cols>
    <x:col min="1" max="1" width="27" style="46" customWidth="1"/>
    <x:col min="2" max="2" width="51.710938" style="46" customWidth="1"/>
  </x:cols>
  <x:sheetData>
    <x:row r="1" spans="1:21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41</x:v>
      </x:c>
      <x:c r="P1" s="6" t="s">
        <x:v>14</x:v>
      </x:c>
      <x:c r="Q1" s="6" t="s">
        <x:v>42</x:v>
      </x:c>
      <x:c r="R1" s="6" t="s">
        <x:v>15</x:v>
      </x:c>
      <x:c r="S1" s="6" t="s">
        <x:v>16</x:v>
      </x:c>
      <x:c r="T1" s="6" t="s">
        <x:v>17</x:v>
      </x:c>
      <x:c r="U1" s="7" t="s">
        <x:v>18</x:v>
      </x:c>
    </x:row>
    <x:row r="2" spans="1:21">
      <x:c r="A2" s="5" t="s">
        <x:v>59</x:v>
      </x:c>
      <x:c r="B2" s="5" t="s">
        <x:v>60</x:v>
      </x:c>
      <x:c r="C2" s="5" t="s"/>
      <x:c r="D2" s="6" t="s"/>
      <x:c r="E2" s="6" t="s"/>
      <x:c r="F2" s="6" t="s"/>
      <x:c r="G2" s="6" t="s"/>
      <x:c r="H2" s="6" t="n">
        <x:v>1</x:v>
      </x:c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6" t="s"/>
      <x:c r="U2" s="7" t="n">
        <x:v>1</x:v>
      </x:c>
    </x:row>
    <x:row r="3" spans="1:21">
      <x:c r="A3" s="8" t="s"/>
      <x:c r="B3" s="9" t="s">
        <x:v>61</x:v>
      </x:c>
      <x:c r="C3" s="9" t="s"/>
      <x:c r="H3" s="46" t="n">
        <x:v>1</x:v>
      </x:c>
      <x:c r="U3" s="10" t="n">
        <x:v>1</x:v>
      </x:c>
    </x:row>
    <x:row r="4" spans="1:21">
      <x:c r="A4" s="8" t="s"/>
      <x:c r="B4" s="9" t="s">
        <x:v>62</x:v>
      </x:c>
      <x:c r="C4" s="9" t="s"/>
      <x:c r="T4" s="46" t="n">
        <x:v>1</x:v>
      </x:c>
      <x:c r="U4" s="10" t="n">
        <x:v>1</x:v>
      </x:c>
    </x:row>
    <x:row r="5" spans="1:21">
      <x:c r="A5" s="8" t="s"/>
      <x:c r="B5" s="9" t="s">
        <x:v>63</x:v>
      </x:c>
      <x:c r="C5" s="9" t="n">
        <x:v>3</x:v>
      </x:c>
      <x:c r="D5" s="46" t="n">
        <x:v>1</x:v>
      </x:c>
      <x:c r="E5" s="46" t="n">
        <x:v>1</x:v>
      </x:c>
      <x:c r="F5" s="46" t="n">
        <x:v>1</x:v>
      </x:c>
      <x:c r="G5" s="46" t="n">
        <x:v>1</x:v>
      </x:c>
      <x:c r="H5" s="46" t="n">
        <x:v>4</x:v>
      </x:c>
      <x:c r="N5" s="46" t="n">
        <x:v>0.5</x:v>
      </x:c>
      <x:c r="P5" s="46" t="n">
        <x:v>1</x:v>
      </x:c>
      <x:c r="R5" s="46" t="n">
        <x:v>2</x:v>
      </x:c>
      <x:c r="S5" s="46" t="n">
        <x:v>1</x:v>
      </x:c>
      <x:c r="T5" s="46" t="n">
        <x:v>1</x:v>
      </x:c>
      <x:c r="U5" s="10" t="n">
        <x:v>16.5</x:v>
      </x:c>
    </x:row>
    <x:row r="6" spans="1:21">
      <x:c r="A6" s="8" t="s"/>
      <x:c r="B6" s="9" t="s">
        <x:v>64</x:v>
      </x:c>
      <x:c r="C6" s="9" t="s"/>
      <x:c r="F6" s="46" t="n">
        <x:v>1</x:v>
      </x:c>
      <x:c r="K6" s="46" t="n">
        <x:v>1</x:v>
      </x:c>
      <x:c r="U6" s="10" t="n">
        <x:v>2</x:v>
      </x:c>
    </x:row>
    <x:row r="7" spans="1:21">
      <x:c r="A7" s="8" t="s"/>
      <x:c r="B7" s="9" t="s">
        <x:v>65</x:v>
      </x:c>
      <x:c r="C7" s="9" t="s"/>
      <x:c r="H7" s="46" t="n">
        <x:v>1</x:v>
      </x:c>
      <x:c r="U7" s="10" t="n">
        <x:v>1</x:v>
      </x:c>
    </x:row>
    <x:row r="8" spans="1:21">
      <x:c r="A8" s="8" t="s"/>
      <x:c r="B8" s="9" t="s">
        <x:v>66</x:v>
      </x:c>
      <x:c r="C8" s="9" t="n">
        <x:v>1</x:v>
      </x:c>
      <x:c r="F8" s="46" t="n">
        <x:v>0.5</x:v>
      </x:c>
      <x:c r="R8" s="46" t="n">
        <x:v>1</x:v>
      </x:c>
      <x:c r="U8" s="10" t="n">
        <x:v>2.5</x:v>
      </x:c>
    </x:row>
    <x:row r="9" spans="1:21">
      <x:c r="A9" s="8" t="s"/>
      <x:c r="B9" s="9" t="s">
        <x:v>67</x:v>
      </x:c>
      <x:c r="C9" s="9" t="s"/>
      <x:c r="G9" s="46" t="n">
        <x:v>8</x:v>
      </x:c>
      <x:c r="U9" s="10" t="n">
        <x:v>8</x:v>
      </x:c>
    </x:row>
    <x:row r="10" spans="1:21">
      <x:c r="A10" s="8" t="s"/>
      <x:c r="B10" s="9" t="s">
        <x:v>68</x:v>
      </x:c>
      <x:c r="C10" s="9" t="s"/>
      <x:c r="H10" s="46" t="n">
        <x:v>1</x:v>
      </x:c>
      <x:c r="U10" s="10" t="n">
        <x:v>1</x:v>
      </x:c>
    </x:row>
    <x:row r="11" spans="1:21">
      <x:c r="A11" s="8" t="s"/>
      <x:c r="B11" s="47" t="s">
        <x:v>69</x:v>
      </x:c>
      <x:c r="C11" s="9" t="n">
        <x:v>1</x:v>
      </x:c>
      <x:c r="F11" s="46" t="n">
        <x:v>2.5</x:v>
      </x:c>
      <x:c r="H11" s="46" t="n">
        <x:v>6</x:v>
      </x:c>
      <x:c r="S11" s="46" t="n">
        <x:v>7</x:v>
      </x:c>
      <x:c r="U11" s="10" t="n">
        <x:v>16.5</x:v>
      </x:c>
    </x:row>
    <x:row r="12" spans="1:21">
      <x:c r="A12" s="8" t="s"/>
      <x:c r="B12" s="9" t="s">
        <x:v>70</x:v>
      </x:c>
      <x:c r="C12" s="9" t="n">
        <x:v>4</x:v>
      </x:c>
      <x:c r="U12" s="10" t="n">
        <x:v>4</x:v>
      </x:c>
    </x:row>
    <x:row r="13" spans="1:21">
      <x:c r="A13" s="8" t="s"/>
      <x:c r="B13" s="9" t="s">
        <x:v>71</x:v>
      </x:c>
      <x:c r="C13" s="9" t="s"/>
      <x:c r="S13" s="46" t="n">
        <x:v>1</x:v>
      </x:c>
      <x:c r="U13" s="10" t="n">
        <x:v>1</x:v>
      </x:c>
    </x:row>
    <x:row r="14" spans="1:21">
      <x:c r="A14" s="8" t="s"/>
      <x:c r="B14" s="9" t="s">
        <x:v>72</x:v>
      </x:c>
      <x:c r="C14" s="9" t="s"/>
      <x:c r="S14" s="46" t="n">
        <x:v>8</x:v>
      </x:c>
      <x:c r="U14" s="10" t="n">
        <x:v>8</x:v>
      </x:c>
    </x:row>
    <x:row r="15" spans="1:21">
      <x:c r="A15" s="8" t="s"/>
      <x:c r="B15" s="9" t="s">
        <x:v>73</x:v>
      </x:c>
      <x:c r="C15" s="9" t="s"/>
      <x:c r="G15" s="46" t="n">
        <x:v>7</x:v>
      </x:c>
      <x:c r="U15" s="10" t="n">
        <x:v>7</x:v>
      </x:c>
    </x:row>
    <x:row r="16" spans="1:21">
      <x:c r="A16" s="8" t="s"/>
      <x:c r="B16" s="9" t="s">
        <x:v>74</x:v>
      </x:c>
      <x:c r="C16" s="9" t="s"/>
      <x:c r="H16" s="46" t="n">
        <x:v>0.5</x:v>
      </x:c>
      <x:c r="U16" s="10" t="n">
        <x:v>0.5</x:v>
      </x:c>
    </x:row>
    <x:row r="17" spans="1:21">
      <x:c r="A17" s="8" t="s"/>
      <x:c r="B17" s="9" t="s">
        <x:v>75</x:v>
      </x:c>
      <x:c r="C17" s="9" t="s"/>
      <x:c r="H17" s="46" t="n">
        <x:v>1</x:v>
      </x:c>
      <x:c r="U17" s="10" t="n">
        <x:v>1</x:v>
      </x:c>
    </x:row>
    <x:row r="18" spans="1:21">
      <x:c r="A18" s="8" t="s"/>
      <x:c r="B18" s="9" t="s">
        <x:v>76</x:v>
      </x:c>
      <x:c r="C18" s="9" t="s"/>
      <x:c r="L18" s="46" t="n">
        <x:v>1</x:v>
      </x:c>
      <x:c r="S18" s="46" t="n">
        <x:v>1</x:v>
      </x:c>
      <x:c r="U18" s="10" t="n">
        <x:v>2</x:v>
      </x:c>
    </x:row>
    <x:row r="19" spans="1:21">
      <x:c r="A19" s="8" t="s"/>
      <x:c r="B19" s="9" t="s">
        <x:v>77</x:v>
      </x:c>
      <x:c r="C19" s="9" t="s"/>
      <x:c r="S19" s="46" t="n">
        <x:v>3</x:v>
      </x:c>
      <x:c r="U19" s="10" t="n">
        <x:v>3</x:v>
      </x:c>
    </x:row>
    <x:row r="20" spans="1:21">
      <x:c r="A20" s="8" t="s"/>
      <x:c r="B20" s="9" t="s">
        <x:v>78</x:v>
      </x:c>
      <x:c r="C20" s="9" t="s"/>
      <x:c r="S20" s="46" t="n">
        <x:v>3</x:v>
      </x:c>
      <x:c r="U20" s="10" t="n">
        <x:v>3</x:v>
      </x:c>
    </x:row>
    <x:row r="21" spans="1:21">
      <x:c r="A21" s="8" t="s"/>
      <x:c r="B21" s="9" t="s">
        <x:v>79</x:v>
      </x:c>
      <x:c r="C21" s="9" t="s"/>
      <x:c r="G21" s="46" t="n">
        <x:v>2</x:v>
      </x:c>
      <x:c r="U21" s="10" t="n">
        <x:v>2</x:v>
      </x:c>
    </x:row>
    <x:row r="22" spans="1:21">
      <x:c r="A22" s="8" t="s"/>
      <x:c r="B22" s="9" t="s">
        <x:v>80</x:v>
      </x:c>
      <x:c r="C22" s="9" t="s"/>
      <x:c r="G22" s="46" t="n">
        <x:v>1</x:v>
      </x:c>
      <x:c r="U22" s="10" t="n">
        <x:v>1</x:v>
      </x:c>
    </x:row>
    <x:row r="23" spans="1:21">
      <x:c r="A23" s="8" t="s"/>
      <x:c r="B23" s="9" t="s">
        <x:v>81</x:v>
      </x:c>
      <x:c r="C23" s="9" t="s"/>
      <x:c r="T23" s="46" t="n">
        <x:v>0.5</x:v>
      </x:c>
      <x:c r="U23" s="10" t="n">
        <x:v>0.5</x:v>
      </x:c>
    </x:row>
    <x:row r="24" spans="1:21">
      <x:c r="A24" s="8" t="s"/>
      <x:c r="B24" s="9" t="s">
        <x:v>82</x:v>
      </x:c>
      <x:c r="C24" s="9" t="s"/>
      <x:c r="H24" s="46" t="n">
        <x:v>1</x:v>
      </x:c>
      <x:c r="U24" s="10" t="n">
        <x:v>1</x:v>
      </x:c>
    </x:row>
    <x:row r="25" spans="1:21">
      <x:c r="A25" s="8" t="s"/>
      <x:c r="B25" s="47" t="s">
        <x:v>83</x:v>
      </x:c>
      <x:c r="C25" s="9" t="s"/>
      <x:c r="G25" s="46" t="n">
        <x:v>3</x:v>
      </x:c>
      <x:c r="U25" s="10" t="n">
        <x:v>3</x:v>
      </x:c>
    </x:row>
    <x:row r="26" spans="1:21">
      <x:c r="A26" s="8" t="s"/>
      <x:c r="B26" s="9" t="s">
        <x:v>84</x:v>
      </x:c>
      <x:c r="C26" s="9" t="s"/>
      <x:c r="G26" s="46" t="n">
        <x:v>1</x:v>
      </x:c>
      <x:c r="U26" s="10" t="n">
        <x:v>1</x:v>
      </x:c>
    </x:row>
    <x:row r="27" spans="1:21">
      <x:c r="A27" s="8" t="s"/>
      <x:c r="B27" s="9" t="s">
        <x:v>85</x:v>
      </x:c>
      <x:c r="C27" s="9" t="s"/>
      <x:c r="S27" s="46" t="n">
        <x:v>1</x:v>
      </x:c>
      <x:c r="U27" s="10" t="n">
        <x:v>1</x:v>
      </x:c>
    </x:row>
    <x:row r="28" spans="1:21">
      <x:c r="A28" s="8" t="s"/>
      <x:c r="B28" s="9" t="s">
        <x:v>86</x:v>
      </x:c>
      <x:c r="C28" s="9" t="s"/>
      <x:c r="G28" s="46" t="n">
        <x:v>1</x:v>
      </x:c>
      <x:c r="U28" s="10" t="n">
        <x:v>1</x:v>
      </x:c>
    </x:row>
    <x:row r="29" spans="1:21">
      <x:c r="A29" s="8" t="s"/>
      <x:c r="B29" s="9" t="s">
        <x:v>87</x:v>
      </x:c>
      <x:c r="C29" s="9" t="s"/>
      <x:c r="G29" s="46" t="n">
        <x:v>6</x:v>
      </x:c>
      <x:c r="U29" s="10" t="n">
        <x:v>6</x:v>
      </x:c>
    </x:row>
    <x:row r="30" spans="1:21">
      <x:c r="A30" s="8" t="s"/>
      <x:c r="B30" s="9" t="s">
        <x:v>88</x:v>
      </x:c>
      <x:c r="C30" s="9" t="n">
        <x:v>2</x:v>
      </x:c>
      <x:c r="U30" s="10" t="n">
        <x:v>2</x:v>
      </x:c>
    </x:row>
    <x:row r="31" spans="1:21">
      <x:c r="A31" s="8" t="s"/>
      <x:c r="B31" s="9" t="s">
        <x:v>89</x:v>
      </x:c>
      <x:c r="C31" s="9" t="s"/>
      <x:c r="S31" s="46" t="n">
        <x:v>1</x:v>
      </x:c>
      <x:c r="U31" s="10" t="n">
        <x:v>1</x:v>
      </x:c>
    </x:row>
    <x:row r="32" spans="1:21">
      <x:c r="A32" s="8" t="s"/>
      <x:c r="B32" s="9" t="s">
        <x:v>90</x:v>
      </x:c>
      <x:c r="C32" s="9" t="s"/>
      <x:c r="G32" s="46" t="n">
        <x:v>3</x:v>
      </x:c>
      <x:c r="U32" s="10" t="n">
        <x:v>3</x:v>
      </x:c>
    </x:row>
    <x:row r="33" spans="1:21">
      <x:c r="A33" s="8" t="s"/>
      <x:c r="B33" s="9" t="s">
        <x:v>91</x:v>
      </x:c>
      <x:c r="C33" s="9" t="n">
        <x:v>19</x:v>
      </x:c>
      <x:c r="F33" s="46" t="n">
        <x:v>1</x:v>
      </x:c>
      <x:c r="L33" s="46" t="n">
        <x:v>5</x:v>
      </x:c>
      <x:c r="U33" s="10" t="n">
        <x:v>25</x:v>
      </x:c>
    </x:row>
    <x:row r="34" spans="1:21">
      <x:c r="A34" s="8" t="s"/>
      <x:c r="B34" s="9" t="s">
        <x:v>92</x:v>
      </x:c>
      <x:c r="C34" s="9" t="s"/>
      <x:c r="S34" s="46" t="n">
        <x:v>2</x:v>
      </x:c>
      <x:c r="U34" s="10" t="n">
        <x:v>2</x:v>
      </x:c>
    </x:row>
    <x:row r="35" spans="1:21">
      <x:c r="A35" s="8" t="s"/>
      <x:c r="B35" s="9" t="s">
        <x:v>93</x:v>
      </x:c>
      <x:c r="C35" s="9" t="s"/>
      <x:c r="S35" s="46" t="n">
        <x:v>1</x:v>
      </x:c>
      <x:c r="U35" s="10" t="n">
        <x:v>1</x:v>
      </x:c>
    </x:row>
    <x:row r="36" spans="1:21">
      <x:c r="A36" s="8" t="s"/>
      <x:c r="B36" s="9" t="s">
        <x:v>94</x:v>
      </x:c>
      <x:c r="C36" s="9" t="s"/>
      <x:c r="F36" s="46" t="n">
        <x:v>1</x:v>
      </x:c>
      <x:c r="T36" s="46" t="n">
        <x:v>1</x:v>
      </x:c>
      <x:c r="U36" s="10" t="n">
        <x:v>2</x:v>
      </x:c>
    </x:row>
    <x:row r="37" spans="1:21">
      <x:c r="A37" s="8" t="s"/>
      <x:c r="B37" s="9" t="s">
        <x:v>95</x:v>
      </x:c>
      <x:c r="C37" s="9" t="s"/>
      <x:c r="G37" s="46" t="n">
        <x:v>1</x:v>
      </x:c>
      <x:c r="U37" s="10" t="n">
        <x:v>1</x:v>
      </x:c>
    </x:row>
    <x:row r="38" spans="1:21">
      <x:c r="A38" s="8" t="s"/>
      <x:c r="B38" s="9" t="s">
        <x:v>96</x:v>
      </x:c>
      <x:c r="C38" s="9" t="s"/>
      <x:c r="G38" s="46" t="n">
        <x:v>8</x:v>
      </x:c>
      <x:c r="U38" s="10" t="n">
        <x:v>8</x:v>
      </x:c>
    </x:row>
    <x:row r="39" spans="1:21">
      <x:c r="A39" s="8" t="s"/>
      <x:c r="B39" s="9" t="s">
        <x:v>97</x:v>
      </x:c>
      <x:c r="C39" s="9" t="s"/>
      <x:c r="H39" s="46" t="n">
        <x:v>1</x:v>
      </x:c>
      <x:c r="U39" s="10" t="n">
        <x:v>1</x:v>
      </x:c>
    </x:row>
    <x:row r="40" spans="1:21">
      <x:c r="A40" s="8" t="s"/>
      <x:c r="B40" s="9" t="s">
        <x:v>98</x:v>
      </x:c>
      <x:c r="C40" s="9" t="s"/>
      <x:c r="E40" s="46" t="n">
        <x:v>0.3</x:v>
      </x:c>
      <x:c r="N40" s="46" t="n">
        <x:v>1</x:v>
      </x:c>
      <x:c r="U40" s="10" t="n">
        <x:v>1.3</x:v>
      </x:c>
    </x:row>
    <x:row r="41" spans="1:21">
      <x:c r="A41" s="8" t="s"/>
      <x:c r="B41" s="5" t="s">
        <x:v>99</x:v>
      </x:c>
      <x:c r="C41" s="5" t="s"/>
      <x:c r="D41" s="6" t="s"/>
      <x:c r="E41" s="6" t="n">
        <x:v>0.1</x:v>
      </x:c>
      <x:c r="F41" s="6" t="s"/>
      <x:c r="G41" s="6" t="s"/>
      <x:c r="H41" s="6" t="s"/>
      <x:c r="I41" s="6" t="s"/>
      <x:c r="J41" s="6" t="s"/>
      <x:c r="K41" s="6" t="s"/>
      <x:c r="L41" s="6" t="s"/>
      <x:c r="M41" s="6" t="s"/>
      <x:c r="N41" s="6" t="n">
        <x:v>1</x:v>
      </x:c>
      <x:c r="O41" s="6" t="s"/>
      <x:c r="P41" s="6" t="s"/>
      <x:c r="Q41" s="6" t="s"/>
      <x:c r="R41" s="6" t="s"/>
      <x:c r="S41" s="6" t="s"/>
      <x:c r="T41" s="6" t="s"/>
      <x:c r="U41" s="7" t="n">
        <x:v>1.1</x:v>
      </x:c>
    </x:row>
    <x:row r="42" spans="1:21">
      <x:c r="A42" s="8" t="s"/>
      <x:c r="B42" s="5" t="s">
        <x:v>100</x:v>
      </x:c>
      <x:c r="C42" s="5" t="s"/>
      <x:c r="D42" s="6" t="s"/>
      <x:c r="E42" s="6" t="s"/>
      <x:c r="F42" s="6" t="s"/>
      <x:c r="G42" s="6" t="s"/>
      <x:c r="H42" s="6" t="s"/>
      <x:c r="I42" s="6" t="s"/>
      <x:c r="J42" s="6" t="s"/>
      <x:c r="K42" s="6" t="s"/>
      <x:c r="L42" s="6" t="s"/>
      <x:c r="M42" s="6" t="s"/>
      <x:c r="N42" s="6" t="s"/>
      <x:c r="O42" s="6" t="s"/>
      <x:c r="P42" s="6" t="s"/>
      <x:c r="Q42" s="6" t="s"/>
      <x:c r="R42" s="6" t="s"/>
      <x:c r="S42" s="6" t="n">
        <x:v>1</x:v>
      </x:c>
      <x:c r="T42" s="6" t="s"/>
      <x:c r="U42" s="7" t="n">
        <x:v>1</x:v>
      </x:c>
    </x:row>
    <x:row r="43" spans="1:21">
      <x:c r="A43" s="8" t="s"/>
      <x:c r="B43" s="47" t="s">
        <x:v>101</x:v>
      </x:c>
      <x:c r="C43" s="9" t="n">
        <x:v>11</x:v>
      </x:c>
      <x:c r="D43" s="46" t="n">
        <x:v>3</x:v>
      </x:c>
      <x:c r="G43" s="46" t="n">
        <x:v>3</x:v>
      </x:c>
      <x:c r="H43" s="46" t="n">
        <x:v>13</x:v>
      </x:c>
      <x:c r="K43" s="46" t="n">
        <x:v>3</x:v>
      </x:c>
      <x:c r="P43" s="46" t="n">
        <x:v>1</x:v>
      </x:c>
      <x:c r="T43" s="46" t="n">
        <x:v>2</x:v>
      </x:c>
      <x:c r="U43" s="10" t="n">
        <x:v>36</x:v>
      </x:c>
    </x:row>
    <x:row r="44" spans="1:21">
      <x:c r="A44" s="8" t="s"/>
      <x:c r="B44" s="9" t="s">
        <x:v>102</x:v>
      </x:c>
      <x:c r="C44" s="9" t="s"/>
      <x:c r="G44" s="46" t="n">
        <x:v>1</x:v>
      </x:c>
      <x:c r="U44" s="10" t="n">
        <x:v>1</x:v>
      </x:c>
    </x:row>
    <x:row r="45" spans="1:21">
      <x:c r="A45" s="8" t="s"/>
      <x:c r="B45" s="9" t="s">
        <x:v>103</x:v>
      </x:c>
      <x:c r="C45" s="9" t="s"/>
      <x:c r="G45" s="46" t="n">
        <x:v>2</x:v>
      </x:c>
      <x:c r="U45" s="10" t="n">
        <x:v>2</x:v>
      </x:c>
    </x:row>
    <x:row r="46" spans="1:21">
      <x:c r="A46" s="8" t="s"/>
      <x:c r="B46" s="9" t="s">
        <x:v>104</x:v>
      </x:c>
      <x:c r="C46" s="9" t="n">
        <x:v>6</x:v>
      </x:c>
      <x:c r="F46" s="46" t="n">
        <x:v>1</x:v>
      </x:c>
      <x:c r="H46" s="46" t="n">
        <x:v>2</x:v>
      </x:c>
      <x:c r="J46" s="46" t="n">
        <x:v>2</x:v>
      </x:c>
      <x:c r="M46" s="46" t="n">
        <x:v>1</x:v>
      </x:c>
      <x:c r="U46" s="10" t="n">
        <x:v>12</x:v>
      </x:c>
    </x:row>
    <x:row r="47" spans="1:21">
      <x:c r="A47" s="8" t="s"/>
      <x:c r="B47" s="9" t="s">
        <x:v>105</x:v>
      </x:c>
      <x:c r="C47" s="9" t="n">
        <x:v>1</x:v>
      </x:c>
      <x:c r="H47" s="46" t="n">
        <x:v>1</x:v>
      </x:c>
      <x:c r="U47" s="10" t="n">
        <x:v>2</x:v>
      </x:c>
    </x:row>
    <x:row r="48" spans="1:21">
      <x:c r="A48" s="8" t="s"/>
      <x:c r="B48" s="9" t="s">
        <x:v>106</x:v>
      </x:c>
      <x:c r="C48" s="9" t="s"/>
      <x:c r="S48" s="46" t="n">
        <x:v>1</x:v>
      </x:c>
      <x:c r="U48" s="10" t="n">
        <x:v>1</x:v>
      </x:c>
    </x:row>
    <x:row r="49" spans="1:21">
      <x:c r="A49" s="8" t="s"/>
      <x:c r="B49" s="9" t="s">
        <x:v>107</x:v>
      </x:c>
      <x:c r="C49" s="9" t="s"/>
      <x:c r="P49" s="46" t="n">
        <x:v>1</x:v>
      </x:c>
      <x:c r="U49" s="10" t="n">
        <x:v>1</x:v>
      </x:c>
    </x:row>
    <x:row r="50" spans="1:21">
      <x:c r="A50" s="8" t="s"/>
      <x:c r="B50" s="9" t="s">
        <x:v>108</x:v>
      </x:c>
      <x:c r="C50" s="9" t="n">
        <x:v>1</x:v>
      </x:c>
      <x:c r="H50" s="46" t="n">
        <x:v>1</x:v>
      </x:c>
      <x:c r="J50" s="46" t="n">
        <x:v>2</x:v>
      </x:c>
      <x:c r="U50" s="10" t="n">
        <x:v>4</x:v>
      </x:c>
    </x:row>
    <x:row r="51" spans="1:21">
      <x:c r="A51" s="8" t="s"/>
      <x:c r="B51" s="47" t="s">
        <x:v>109</x:v>
      </x:c>
      <x:c r="C51" s="9" t="n">
        <x:v>11</x:v>
      </x:c>
      <x:c r="E51" s="46" t="n">
        <x:v>0.2</x:v>
      </x:c>
      <x:c r="H51" s="46" t="n">
        <x:v>2</x:v>
      </x:c>
      <x:c r="N51" s="46" t="n">
        <x:v>2</x:v>
      </x:c>
      <x:c r="S51" s="46" t="n">
        <x:v>1</x:v>
      </x:c>
      <x:c r="U51" s="10" t="n">
        <x:v>16.2</x:v>
      </x:c>
    </x:row>
    <x:row r="52" spans="1:21">
      <x:c r="A52" s="8" t="s"/>
      <x:c r="B52" s="9" t="s">
        <x:v>110</x:v>
      </x:c>
      <x:c r="C52" s="9" t="s"/>
      <x:c r="H52" s="46" t="n">
        <x:v>1</x:v>
      </x:c>
      <x:c r="U52" s="10" t="n">
        <x:v>1</x:v>
      </x:c>
    </x:row>
    <x:row r="53" spans="1:21">
      <x:c r="A53" s="8" t="s"/>
      <x:c r="B53" s="9" t="s">
        <x:v>111</x:v>
      </x:c>
      <x:c r="C53" s="9" t="n">
        <x:v>1</x:v>
      </x:c>
      <x:c r="D53" s="46" t="n">
        <x:v>1</x:v>
      </x:c>
      <x:c r="F53" s="46" t="n">
        <x:v>1</x:v>
      </x:c>
      <x:c r="S53" s="46" t="n">
        <x:v>3</x:v>
      </x:c>
      <x:c r="U53" s="10" t="n">
        <x:v>6</x:v>
      </x:c>
    </x:row>
    <x:row r="54" spans="1:21">
      <x:c r="A54" s="8" t="s"/>
      <x:c r="B54" s="9" t="s">
        <x:v>112</x:v>
      </x:c>
      <x:c r="C54" s="9" t="s"/>
      <x:c r="H54" s="46" t="n">
        <x:v>1</x:v>
      </x:c>
      <x:c r="K54" s="46" t="n">
        <x:v>1</x:v>
      </x:c>
      <x:c r="U54" s="10" t="n">
        <x:v>2</x:v>
      </x:c>
    </x:row>
    <x:row r="55" spans="1:21">
      <x:c r="A55" s="8" t="s"/>
      <x:c r="B55" s="9" t="s">
        <x:v>113</x:v>
      </x:c>
      <x:c r="C55" s="9" t="s"/>
      <x:c r="G55" s="46" t="n">
        <x:v>1</x:v>
      </x:c>
      <x:c r="U55" s="10" t="n">
        <x:v>1</x:v>
      </x:c>
    </x:row>
    <x:row r="56" spans="1:21">
      <x:c r="A56" s="8" t="s"/>
      <x:c r="B56" s="9" t="s">
        <x:v>114</x:v>
      </x:c>
      <x:c r="C56" s="9" t="s"/>
      <x:c r="F56" s="46" t="n">
        <x:v>1</x:v>
      </x:c>
      <x:c r="H56" s="46" t="n">
        <x:v>1</x:v>
      </x:c>
      <x:c r="U56" s="10" t="n">
        <x:v>2</x:v>
      </x:c>
    </x:row>
    <x:row r="57" spans="1:21">
      <x:c r="A57" s="8" t="s"/>
      <x:c r="B57" s="9" t="s">
        <x:v>115</x:v>
      </x:c>
      <x:c r="C57" s="9" t="s"/>
      <x:c r="H57" s="46" t="n">
        <x:v>1</x:v>
      </x:c>
      <x:c r="U57" s="10" t="n">
        <x:v>1</x:v>
      </x:c>
    </x:row>
    <x:row r="58" spans="1:21">
      <x:c r="A58" s="8" t="s"/>
      <x:c r="B58" s="9" t="s">
        <x:v>116</x:v>
      </x:c>
      <x:c r="C58" s="9" t="s"/>
      <x:c r="H58" s="46" t="n">
        <x:v>1</x:v>
      </x:c>
      <x:c r="S58" s="46" t="n">
        <x:v>1</x:v>
      </x:c>
      <x:c r="U58" s="10" t="n">
        <x:v>2</x:v>
      </x:c>
    </x:row>
    <x:row r="59" spans="1:21">
      <x:c r="A59" s="8" t="s"/>
      <x:c r="B59" s="9" t="s">
        <x:v>117</x:v>
      </x:c>
      <x:c r="C59" s="9" t="s"/>
      <x:c r="F59" s="46" t="n">
        <x:v>1</x:v>
      </x:c>
      <x:c r="H59" s="46" t="n">
        <x:v>1.25</x:v>
      </x:c>
      <x:c r="U59" s="10" t="n">
        <x:v>2.25</x:v>
      </x:c>
    </x:row>
    <x:row r="60" spans="1:21">
      <x:c r="A60" s="8" t="s"/>
      <x:c r="B60" s="9" t="s">
        <x:v>118</x:v>
      </x:c>
      <x:c r="C60" s="9" t="n">
        <x:v>1</x:v>
      </x:c>
      <x:c r="U60" s="10" t="n">
        <x:v>1</x:v>
      </x:c>
    </x:row>
    <x:row r="61" spans="1:21">
      <x:c r="A61" s="8" t="s"/>
      <x:c r="B61" s="9" t="s">
        <x:v>119</x:v>
      </x:c>
      <x:c r="C61" s="9" t="s"/>
      <x:c r="H61" s="46" t="n">
        <x:v>1</x:v>
      </x:c>
      <x:c r="U61" s="10" t="n">
        <x:v>1</x:v>
      </x:c>
    </x:row>
    <x:row r="62" spans="1:21">
      <x:c r="A62" s="8" t="s"/>
      <x:c r="B62" s="9" t="s">
        <x:v>120</x:v>
      </x:c>
      <x:c r="C62" s="9" t="s"/>
      <x:c r="S62" s="46" t="n">
        <x:v>1</x:v>
      </x:c>
      <x:c r="U62" s="10" t="n">
        <x:v>1</x:v>
      </x:c>
    </x:row>
    <x:row r="63" spans="1:21">
      <x:c r="A63" s="8" t="s"/>
      <x:c r="B63" s="9" t="s">
        <x:v>121</x:v>
      </x:c>
      <x:c r="C63" s="9" t="n">
        <x:v>1</x:v>
      </x:c>
      <x:c r="U63" s="10" t="n">
        <x:v>1</x:v>
      </x:c>
    </x:row>
    <x:row r="64" spans="1:21">
      <x:c r="A64" s="8" t="s"/>
      <x:c r="B64" s="9" t="s">
        <x:v>122</x:v>
      </x:c>
      <x:c r="C64" s="9" t="s"/>
      <x:c r="G64" s="46" t="n">
        <x:v>1</x:v>
      </x:c>
      <x:c r="U64" s="10" t="n">
        <x:v>1</x:v>
      </x:c>
    </x:row>
    <x:row r="65" spans="1:21">
      <x:c r="A65" s="8" t="s"/>
      <x:c r="B65" s="9" t="s">
        <x:v>123</x:v>
      </x:c>
      <x:c r="C65" s="9" t="n">
        <x:v>1</x:v>
      </x:c>
      <x:c r="U65" s="10" t="n">
        <x:v>1</x:v>
      </x:c>
    </x:row>
    <x:row r="66" spans="1:21">
      <x:c r="A66" s="8" t="s"/>
      <x:c r="B66" s="9" t="s">
        <x:v>124</x:v>
      </x:c>
      <x:c r="C66" s="9" t="s"/>
      <x:c r="H66" s="46" t="n">
        <x:v>4</x:v>
      </x:c>
      <x:c r="U66" s="10" t="n">
        <x:v>4</x:v>
      </x:c>
    </x:row>
    <x:row r="67" spans="1:21">
      <x:c r="A67" s="8" t="s"/>
      <x:c r="B67" s="9" t="s">
        <x:v>125</x:v>
      </x:c>
      <x:c r="C67" s="9" t="s"/>
      <x:c r="H67" s="46" t="n">
        <x:v>1</x:v>
      </x:c>
      <x:c r="U67" s="10" t="n">
        <x:v>1</x:v>
      </x:c>
    </x:row>
    <x:row r="68" spans="1:21">
      <x:c r="A68" s="8" t="s"/>
      <x:c r="B68" s="9" t="s">
        <x:v>126</x:v>
      </x:c>
      <x:c r="C68" s="9" t="s"/>
      <x:c r="E68" s="46" t="n">
        <x:v>0.75</x:v>
      </x:c>
      <x:c r="N68" s="46" t="n">
        <x:v>0.25</x:v>
      </x:c>
      <x:c r="U68" s="10" t="n">
        <x:v>1</x:v>
      </x:c>
    </x:row>
    <x:row r="69" spans="1:21">
      <x:c r="A69" s="8" t="s"/>
      <x:c r="B69" s="9" t="s">
        <x:v>127</x:v>
      </x:c>
      <x:c r="C69" s="9" t="n">
        <x:v>1</x:v>
      </x:c>
      <x:c r="U69" s="10" t="n">
        <x:v>1</x:v>
      </x:c>
    </x:row>
    <x:row r="70" spans="1:21">
      <x:c r="A70" s="8" t="s"/>
      <x:c r="B70" s="9" t="s">
        <x:v>128</x:v>
      </x:c>
      <x:c r="C70" s="9" t="s"/>
      <x:c r="H70" s="46" t="n">
        <x:v>1</x:v>
      </x:c>
      <x:c r="U70" s="10" t="n">
        <x:v>1</x:v>
      </x:c>
    </x:row>
    <x:row r="71" spans="1:21">
      <x:c r="A71" s="8" t="s"/>
      <x:c r="B71" s="9" t="s">
        <x:v>129</x:v>
      </x:c>
      <x:c r="C71" s="9" t="n">
        <x:v>1</x:v>
      </x:c>
      <x:c r="U71" s="10" t="n">
        <x:v>1</x:v>
      </x:c>
    </x:row>
    <x:row r="72" spans="1:21">
      <x:c r="A72" s="8" t="s"/>
      <x:c r="B72" s="9" t="s">
        <x:v>130</x:v>
      </x:c>
      <x:c r="C72" s="9" t="n">
        <x:v>1</x:v>
      </x:c>
      <x:c r="H72" s="46" t="n">
        <x:v>1</x:v>
      </x:c>
      <x:c r="J72" s="46" t="n">
        <x:v>1</x:v>
      </x:c>
      <x:c r="L72" s="46" t="n">
        <x:v>3</x:v>
      </x:c>
      <x:c r="M72" s="46" t="n">
        <x:v>1</x:v>
      </x:c>
      <x:c r="U72" s="10" t="n">
        <x:v>7</x:v>
      </x:c>
    </x:row>
    <x:row r="73" spans="1:21">
      <x:c r="A73" s="8" t="s"/>
      <x:c r="B73" s="9" t="s">
        <x:v>131</x:v>
      </x:c>
      <x:c r="C73" s="9" t="n">
        <x:v>2</x:v>
      </x:c>
      <x:c r="T73" s="46" t="n">
        <x:v>1</x:v>
      </x:c>
      <x:c r="U73" s="10" t="n">
        <x:v>3</x:v>
      </x:c>
    </x:row>
    <x:row r="74" spans="1:21">
      <x:c r="A74" s="8" t="s"/>
      <x:c r="B74" s="9" t="s">
        <x:v>132</x:v>
      </x:c>
      <x:c r="C74" s="9" t="s"/>
      <x:c r="D74" s="46" t="n">
        <x:v>1</x:v>
      </x:c>
      <x:c r="U74" s="10" t="n">
        <x:v>1</x:v>
      </x:c>
    </x:row>
    <x:row r="75" spans="1:21">
      <x:c r="A75" s="8" t="s"/>
      <x:c r="B75" s="9" t="s">
        <x:v>133</x:v>
      </x:c>
      <x:c r="C75" s="9" t="s"/>
      <x:c r="H75" s="46" t="n">
        <x:v>1</x:v>
      </x:c>
      <x:c r="U75" s="10" t="n">
        <x:v>1</x:v>
      </x:c>
    </x:row>
    <x:row r="76" spans="1:21">
      <x:c r="A76" s="8" t="s"/>
      <x:c r="B76" s="9" t="s">
        <x:v>134</x:v>
      </x:c>
      <x:c r="C76" s="9" t="n">
        <x:v>2.3</x:v>
      </x:c>
      <x:c r="G76" s="46" t="n">
        <x:v>1</x:v>
      </x:c>
      <x:c r="H76" s="46" t="n">
        <x:v>1</x:v>
      </x:c>
      <x:c r="I76" s="46" t="n">
        <x:v>1</x:v>
      </x:c>
      <x:c r="J76" s="46" t="n">
        <x:v>3.3</x:v>
      </x:c>
      <x:c r="L76" s="46" t="n">
        <x:v>5</x:v>
      </x:c>
      <x:c r="U76" s="10" t="n">
        <x:v>13.6</x:v>
      </x:c>
    </x:row>
    <x:row r="77" spans="1:21">
      <x:c r="A77" s="8" t="s"/>
      <x:c r="B77" s="9" t="s">
        <x:v>135</x:v>
      </x:c>
      <x:c r="C77" s="9" t="s"/>
      <x:c r="H77" s="46" t="n">
        <x:v>1</x:v>
      </x:c>
      <x:c r="U77" s="10" t="n">
        <x:v>1</x:v>
      </x:c>
    </x:row>
    <x:row r="78" spans="1:21">
      <x:c r="A78" s="8" t="s"/>
      <x:c r="B78" s="9" t="s">
        <x:v>136</x:v>
      </x:c>
      <x:c r="C78" s="9" t="n">
        <x:v>1</x:v>
      </x:c>
      <x:c r="H78" s="46" t="n">
        <x:v>1.3</x:v>
      </x:c>
      <x:c r="U78" s="10" t="n">
        <x:v>2.3</x:v>
      </x:c>
    </x:row>
    <x:row r="79" spans="1:21">
      <x:c r="A79" s="8" t="s"/>
      <x:c r="B79" s="9" t="s">
        <x:v>137</x:v>
      </x:c>
      <x:c r="C79" s="9" t="n">
        <x:v>0.25</x:v>
      </x:c>
      <x:c r="S79" s="46" t="n">
        <x:v>2</x:v>
      </x:c>
      <x:c r="U79" s="10" t="n">
        <x:v>2.25</x:v>
      </x:c>
    </x:row>
    <x:row r="80" spans="1:21">
      <x:c r="A80" s="8" t="s"/>
      <x:c r="B80" s="9" t="s">
        <x:v>138</x:v>
      </x:c>
      <x:c r="C80" s="9" t="s"/>
      <x:c r="P80" s="46" t="n">
        <x:v>1</x:v>
      </x:c>
      <x:c r="U80" s="10" t="n">
        <x:v>1</x:v>
      </x:c>
    </x:row>
    <x:row r="81" spans="1:21">
      <x:c r="A81" s="8" t="s"/>
      <x:c r="B81" s="9" t="s">
        <x:v>139</x:v>
      </x:c>
      <x:c r="C81" s="9" t="s"/>
      <x:c r="P81" s="46" t="n">
        <x:v>2</x:v>
      </x:c>
      <x:c r="U81" s="10" t="n">
        <x:v>2</x:v>
      </x:c>
    </x:row>
    <x:row r="82" spans="1:21">
      <x:c r="A82" s="8" t="s"/>
      <x:c r="B82" s="9" t="s">
        <x:v>140</x:v>
      </x:c>
      <x:c r="C82" s="9" t="s"/>
      <x:c r="P82" s="46" t="n">
        <x:v>1</x:v>
      </x:c>
      <x:c r="U82" s="10" t="n">
        <x:v>1</x:v>
      </x:c>
    </x:row>
    <x:row r="83" spans="1:21">
      <x:c r="A83" s="8" t="s"/>
      <x:c r="B83" s="9" t="s">
        <x:v>141</x:v>
      </x:c>
      <x:c r="C83" s="9" t="s"/>
      <x:c r="H83" s="46" t="n">
        <x:v>1</x:v>
      </x:c>
      <x:c r="U83" s="10" t="n">
        <x:v>1</x:v>
      </x:c>
    </x:row>
    <x:row r="84" spans="1:21">
      <x:c r="A84" s="8" t="s"/>
      <x:c r="B84" s="9" t="s">
        <x:v>142</x:v>
      </x:c>
      <x:c r="C84" s="9" t="s"/>
      <x:c r="H84" s="46" t="n">
        <x:v>1</x:v>
      </x:c>
      <x:c r="U84" s="10" t="n">
        <x:v>1</x:v>
      </x:c>
    </x:row>
    <x:row r="85" spans="1:21">
      <x:c r="A85" s="8" t="s"/>
      <x:c r="B85" s="9" t="s">
        <x:v>143</x:v>
      </x:c>
      <x:c r="C85" s="9" t="s"/>
      <x:c r="H85" s="46" t="n">
        <x:v>2</x:v>
      </x:c>
      <x:c r="U85" s="10" t="n">
        <x:v>2</x:v>
      </x:c>
    </x:row>
    <x:row r="86" spans="1:21">
      <x:c r="A86" s="8" t="s"/>
      <x:c r="B86" s="47" t="s">
        <x:v>144</x:v>
      </x:c>
      <x:c r="C86" s="9" t="n">
        <x:v>15</x:v>
      </x:c>
      <x:c r="F86" s="46" t="n">
        <x:v>2</x:v>
      </x:c>
      <x:c r="H86" s="46" t="n">
        <x:v>6</x:v>
      </x:c>
      <x:c r="K86" s="46" t="n">
        <x:v>4.5</x:v>
      </x:c>
      <x:c r="P86" s="46" t="n">
        <x:v>0.5</x:v>
      </x:c>
      <x:c r="U86" s="10" t="n">
        <x:v>28</x:v>
      </x:c>
    </x:row>
    <x:row r="87" spans="1:21">
      <x:c r="A87" s="8" t="s"/>
      <x:c r="B87" s="9" t="s">
        <x:v>145</x:v>
      </x:c>
      <x:c r="C87" s="9" t="s"/>
      <x:c r="S87" s="46" t="n">
        <x:v>1</x:v>
      </x:c>
      <x:c r="U87" s="10" t="n">
        <x:v>1</x:v>
      </x:c>
    </x:row>
    <x:row r="88" spans="1:21">
      <x:c r="A88" s="8" t="s"/>
      <x:c r="B88" s="9" t="s">
        <x:v>146</x:v>
      </x:c>
      <x:c r="C88" s="9" t="s"/>
      <x:c r="H88" s="46" t="n">
        <x:v>1</x:v>
      </x:c>
      <x:c r="U88" s="10" t="n">
        <x:v>1</x:v>
      </x:c>
    </x:row>
    <x:row r="89" spans="1:21">
      <x:c r="A89" s="8" t="s"/>
      <x:c r="B89" s="9" t="s">
        <x:v>147</x:v>
      </x:c>
      <x:c r="C89" s="9" t="n">
        <x:v>1</x:v>
      </x:c>
      <x:c r="U89" s="10" t="n">
        <x:v>1</x:v>
      </x:c>
    </x:row>
    <x:row r="90" spans="1:21">
      <x:c r="A90" s="8" t="s"/>
      <x:c r="B90" s="9" t="s">
        <x:v>148</x:v>
      </x:c>
      <x:c r="C90" s="9" t="s"/>
      <x:c r="E90" s="46" t="n">
        <x:v>2</x:v>
      </x:c>
      <x:c r="U90" s="10" t="n">
        <x:v>2</x:v>
      </x:c>
    </x:row>
    <x:row r="91" spans="1:21">
      <x:c r="A91" s="8" t="s"/>
      <x:c r="B91" s="9" t="s">
        <x:v>149</x:v>
      </x:c>
      <x:c r="C91" s="9" t="n">
        <x:v>2</x:v>
      </x:c>
      <x:c r="H91" s="46" t="n">
        <x:v>3</x:v>
      </x:c>
      <x:c r="U91" s="10" t="n">
        <x:v>5</x:v>
      </x:c>
    </x:row>
    <x:row r="92" spans="1:21">
      <x:c r="A92" s="8" t="s"/>
      <x:c r="B92" s="9" t="s">
        <x:v>150</x:v>
      </x:c>
      <x:c r="C92" s="9" t="n">
        <x:v>1</x:v>
      </x:c>
      <x:c r="U92" s="10" t="n">
        <x:v>1</x:v>
      </x:c>
    </x:row>
    <x:row r="93" spans="1:21">
      <x:c r="A93" s="8" t="s"/>
      <x:c r="B93" s="9" t="s">
        <x:v>151</x:v>
      </x:c>
      <x:c r="C93" s="9" t="s"/>
      <x:c r="P93" s="46" t="n">
        <x:v>1</x:v>
      </x:c>
      <x:c r="U93" s="10" t="n">
        <x:v>1</x:v>
      </x:c>
    </x:row>
    <x:row r="94" spans="1:21">
      <x:c r="A94" s="8" t="s"/>
      <x:c r="B94" s="9" t="s">
        <x:v>152</x:v>
      </x:c>
      <x:c r="C94" s="9" t="s"/>
      <x:c r="D94" s="46" t="n">
        <x:v>1</x:v>
      </x:c>
      <x:c r="U94" s="10" t="n">
        <x:v>1</x:v>
      </x:c>
    </x:row>
    <x:row r="95" spans="1:21">
      <x:c r="A95" s="8" t="s"/>
      <x:c r="B95" s="9" t="s">
        <x:v>153</x:v>
      </x:c>
      <x:c r="C95" s="9" t="s"/>
      <x:c r="P95" s="46" t="n">
        <x:v>1</x:v>
      </x:c>
      <x:c r="U95" s="10" t="n">
        <x:v>1</x:v>
      </x:c>
    </x:row>
    <x:row r="96" spans="1:21">
      <x:c r="A96" s="8" t="s"/>
      <x:c r="B96" s="9" t="s">
        <x:v>154</x:v>
      </x:c>
      <x:c r="C96" s="9" t="n">
        <x:v>1</x:v>
      </x:c>
      <x:c r="G96" s="46" t="n">
        <x:v>1</x:v>
      </x:c>
      <x:c r="H96" s="46" t="n">
        <x:v>1</x:v>
      </x:c>
      <x:c r="O96" s="46" t="n">
        <x:v>0.1</x:v>
      </x:c>
      <x:c r="U96" s="10" t="n">
        <x:v>3.1</x:v>
      </x:c>
    </x:row>
    <x:row r="97" spans="1:21">
      <x:c r="A97" s="8" t="s"/>
      <x:c r="B97" s="9" t="s">
        <x:v>155</x:v>
      </x:c>
      <x:c r="C97" s="9" t="s"/>
      <x:c r="E97" s="46" t="n">
        <x:v>1</x:v>
      </x:c>
      <x:c r="N97" s="46" t="n">
        <x:v>1</x:v>
      </x:c>
      <x:c r="U97" s="10" t="n">
        <x:v>2</x:v>
      </x:c>
    </x:row>
    <x:row r="98" spans="1:21">
      <x:c r="A98" s="8" t="s"/>
      <x:c r="B98" s="9" t="s">
        <x:v>156</x:v>
      </x:c>
      <x:c r="C98" s="9" t="s"/>
      <x:c r="H98" s="46" t="n">
        <x:v>2</x:v>
      </x:c>
      <x:c r="U98" s="10" t="n">
        <x:v>2</x:v>
      </x:c>
    </x:row>
    <x:row r="99" spans="1:21">
      <x:c r="A99" s="8" t="s"/>
      <x:c r="B99" s="9" t="s">
        <x:v>157</x:v>
      </x:c>
      <x:c r="C99" s="9" t="s"/>
      <x:c r="H99" s="46" t="n">
        <x:v>1.3</x:v>
      </x:c>
      <x:c r="U99" s="10" t="n">
        <x:v>1.3</x:v>
      </x:c>
    </x:row>
    <x:row r="100" spans="1:21">
      <x:c r="A100" s="8" t="s"/>
      <x:c r="B100" s="9" t="s">
        <x:v>158</x:v>
      </x:c>
      <x:c r="C100" s="9" t="s"/>
      <x:c r="K100" s="46" t="n">
        <x:v>3</x:v>
      </x:c>
      <x:c r="U100" s="10" t="n">
        <x:v>3</x:v>
      </x:c>
    </x:row>
    <x:row r="101" spans="1:21">
      <x:c r="A101" s="8" t="s"/>
      <x:c r="B101" s="9" t="s">
        <x:v>159</x:v>
      </x:c>
      <x:c r="C101" s="9" t="s"/>
      <x:c r="E101" s="46" t="n">
        <x:v>2</x:v>
      </x:c>
      <x:c r="U101" s="10" t="n">
        <x:v>2</x:v>
      </x:c>
    </x:row>
    <x:row r="102" spans="1:21">
      <x:c r="A102" s="8" t="s"/>
      <x:c r="B102" s="9" t="s">
        <x:v>160</x:v>
      </x:c>
      <x:c r="C102" s="9" t="s"/>
      <x:c r="E102" s="46" t="n">
        <x:v>1</x:v>
      </x:c>
      <x:c r="U102" s="10" t="n">
        <x:v>1</x:v>
      </x:c>
    </x:row>
    <x:row r="103" spans="1:21">
      <x:c r="A103" s="8" t="s"/>
      <x:c r="B103" s="9" t="s">
        <x:v>161</x:v>
      </x:c>
      <x:c r="C103" s="9" t="s"/>
      <x:c r="S103" s="46" t="n">
        <x:v>1</x:v>
      </x:c>
      <x:c r="U103" s="10" t="n">
        <x:v>1</x:v>
      </x:c>
    </x:row>
    <x:row r="104" spans="1:21">
      <x:c r="A104" s="8" t="s"/>
      <x:c r="B104" s="9" t="s">
        <x:v>162</x:v>
      </x:c>
      <x:c r="C104" s="9" t="s"/>
      <x:c r="H104" s="46" t="n">
        <x:v>1</x:v>
      </x:c>
      <x:c r="U104" s="10" t="n">
        <x:v>1</x:v>
      </x:c>
    </x:row>
    <x:row r="105" spans="1:21">
      <x:c r="A105" s="8" t="s"/>
      <x:c r="B105" s="9" t="s">
        <x:v>163</x:v>
      </x:c>
      <x:c r="C105" s="9" t="s"/>
      <x:c r="E105" s="46" t="n">
        <x:v>0.2</x:v>
      </x:c>
      <x:c r="N105" s="46" t="n">
        <x:v>1</x:v>
      </x:c>
      <x:c r="U105" s="10" t="n">
        <x:v>1.2</x:v>
      </x:c>
    </x:row>
    <x:row r="106" spans="1:21">
      <x:c r="A106" s="8" t="s"/>
      <x:c r="B106" s="9" t="s">
        <x:v>164</x:v>
      </x:c>
      <x:c r="C106" s="9" t="s"/>
      <x:c r="H106" s="46" t="n">
        <x:v>2</x:v>
      </x:c>
      <x:c r="K106" s="46" t="n">
        <x:v>2</x:v>
      </x:c>
      <x:c r="U106" s="10" t="n">
        <x:v>4</x:v>
      </x:c>
    </x:row>
    <x:row r="107" spans="1:21">
      <x:c r="A107" s="8" t="s"/>
      <x:c r="B107" s="9" t="s">
        <x:v>165</x:v>
      </x:c>
      <x:c r="C107" s="9" t="s"/>
      <x:c r="F107" s="46" t="n">
        <x:v>2</x:v>
      </x:c>
      <x:c r="H107" s="46" t="n">
        <x:v>5</x:v>
      </x:c>
      <x:c r="R107" s="46" t="n">
        <x:v>1</x:v>
      </x:c>
      <x:c r="U107" s="10" t="n">
        <x:v>8</x:v>
      </x:c>
    </x:row>
    <x:row r="108" spans="1:21">
      <x:c r="A108" s="8" t="s"/>
      <x:c r="B108" s="9" t="s">
        <x:v>166</x:v>
      </x:c>
      <x:c r="C108" s="9" t="s"/>
      <x:c r="H108" s="46" t="n">
        <x:v>1</x:v>
      </x:c>
      <x:c r="U108" s="10" t="n">
        <x:v>1</x:v>
      </x:c>
    </x:row>
    <x:row r="109" spans="1:21">
      <x:c r="A109" s="8" t="s"/>
      <x:c r="B109" s="9" t="s">
        <x:v>167</x:v>
      </x:c>
      <x:c r="C109" s="9" t="s"/>
      <x:c r="H109" s="46" t="n">
        <x:v>1</x:v>
      </x:c>
      <x:c r="K109" s="46" t="n">
        <x:v>1</x:v>
      </x:c>
      <x:c r="U109" s="10" t="n">
        <x:v>2</x:v>
      </x:c>
    </x:row>
    <x:row r="110" spans="1:21">
      <x:c r="A110" s="8" t="s"/>
      <x:c r="B110" s="47" t="s">
        <x:v>168</x:v>
      </x:c>
      <x:c r="C110" s="9" t="n">
        <x:v>2</x:v>
      </x:c>
      <x:c r="D110" s="46" t="n">
        <x:v>1.25</x:v>
      </x:c>
      <x:c r="E110" s="46" t="n">
        <x:v>1.25</x:v>
      </x:c>
      <x:c r="F110" s="46" t="n">
        <x:v>1</x:v>
      </x:c>
      <x:c r="G110" s="46" t="n">
        <x:v>1</x:v>
      </x:c>
      <x:c r="H110" s="46" t="n">
        <x:v>2</x:v>
      </x:c>
      <x:c r="I110" s="46" t="n">
        <x:v>1</x:v>
      </x:c>
      <x:c r="K110" s="46" t="n">
        <x:v>1</x:v>
      </x:c>
      <x:c r="N110" s="46" t="n">
        <x:v>0.5</x:v>
      </x:c>
      <x:c r="S110" s="46" t="n">
        <x:v>9</x:v>
      </x:c>
      <x:c r="U110" s="10" t="n">
        <x:v>20</x:v>
      </x:c>
    </x:row>
    <x:row r="111" spans="1:21">
      <x:c r="A111" s="8" t="s"/>
      <x:c r="B111" s="9" t="s">
        <x:v>169</x:v>
      </x:c>
      <x:c r="C111" s="9" t="n">
        <x:v>1</x:v>
      </x:c>
      <x:c r="G111" s="46" t="n">
        <x:v>1</x:v>
      </x:c>
      <x:c r="H111" s="46" t="n">
        <x:v>1</x:v>
      </x:c>
      <x:c r="S111" s="46" t="n">
        <x:v>2</x:v>
      </x:c>
      <x:c r="T111" s="46" t="n">
        <x:v>1</x:v>
      </x:c>
      <x:c r="U111" s="10" t="n">
        <x:v>6</x:v>
      </x:c>
    </x:row>
    <x:row r="112" spans="1:21">
      <x:c r="A112" s="8" t="s"/>
      <x:c r="B112" s="9" t="s">
        <x:v>170</x:v>
      </x:c>
      <x:c r="C112" s="9" t="s"/>
      <x:c r="G112" s="46" t="n">
        <x:v>1</x:v>
      </x:c>
      <x:c r="U112" s="10" t="n">
        <x:v>1</x:v>
      </x:c>
    </x:row>
    <x:row r="113" spans="1:21">
      <x:c r="A113" s="8" t="s"/>
      <x:c r="B113" s="9" t="s">
        <x:v>171</x:v>
      </x:c>
      <x:c r="C113" s="9" t="s"/>
      <x:c r="R113" s="46" t="n">
        <x:v>2</x:v>
      </x:c>
      <x:c r="U113" s="10" t="n">
        <x:v>2</x:v>
      </x:c>
    </x:row>
    <x:row r="114" spans="1:21">
      <x:c r="A114" s="8" t="s"/>
      <x:c r="B114" s="9" t="s">
        <x:v>172</x:v>
      </x:c>
      <x:c r="C114" s="9" t="n">
        <x:v>2.125</x:v>
      </x:c>
      <x:c r="E114" s="46" t="n">
        <x:v>0.65</x:v>
      </x:c>
      <x:c r="F114" s="46" t="n">
        <x:v>1</x:v>
      </x:c>
      <x:c r="G114" s="46" t="n">
        <x:v>1</x:v>
      </x:c>
      <x:c r="H114" s="46" t="n">
        <x:v>3</x:v>
      </x:c>
      <x:c r="N114" s="46" t="n">
        <x:v>0.35</x:v>
      </x:c>
      <x:c r="S114" s="46" t="n">
        <x:v>1</x:v>
      </x:c>
      <x:c r="U114" s="10" t="n">
        <x:v>9.125</x:v>
      </x:c>
    </x:row>
    <x:row r="115" spans="1:21">
      <x:c r="A115" s="8" t="s"/>
      <x:c r="B115" s="9" t="s">
        <x:v>72</x:v>
      </x:c>
      <x:c r="C115" s="9" t="s"/>
      <x:c r="F115" s="46" t="n">
        <x:v>3</x:v>
      </x:c>
      <x:c r="Q115" s="46" t="n">
        <x:v>1</x:v>
      </x:c>
      <x:c r="U115" s="10" t="n">
        <x:v>4</x:v>
      </x:c>
    </x:row>
    <x:row r="116" spans="1:21">
      <x:c r="A116" s="8" t="s"/>
      <x:c r="B116" s="9" t="s">
        <x:v>81</x:v>
      </x:c>
      <x:c r="C116" s="9" t="n">
        <x:v>1</x:v>
      </x:c>
      <x:c r="D116" s="46" t="n">
        <x:v>0.25</x:v>
      </x:c>
      <x:c r="F116" s="46" t="n">
        <x:v>1</x:v>
      </x:c>
      <x:c r="H116" s="46" t="n">
        <x:v>1</x:v>
      </x:c>
      <x:c r="U116" s="10" t="n">
        <x:v>3.25</x:v>
      </x:c>
    </x:row>
    <x:row r="117" spans="1:21">
      <x:c r="A117" s="8" t="s"/>
      <x:c r="B117" s="9" t="s">
        <x:v>82</x:v>
      </x:c>
      <x:c r="C117" s="9" t="s"/>
      <x:c r="P117" s="46" t="n">
        <x:v>2</x:v>
      </x:c>
      <x:c r="U117" s="10" t="n">
        <x:v>2</x:v>
      </x:c>
    </x:row>
    <x:row r="118" spans="1:21">
      <x:c r="A118" s="8" t="s"/>
      <x:c r="B118" s="9" t="s">
        <x:v>173</x:v>
      </x:c>
      <x:c r="C118" s="9" t="s"/>
      <x:c r="P118" s="46" t="n">
        <x:v>1</x:v>
      </x:c>
      <x:c r="U118" s="10" t="n">
        <x:v>1</x:v>
      </x:c>
    </x:row>
    <x:row r="119" spans="1:21">
      <x:c r="A119" s="8" t="s"/>
      <x:c r="B119" s="9" t="s">
        <x:v>89</x:v>
      </x:c>
      <x:c r="C119" s="9" t="s"/>
      <x:c r="D119" s="46" t="n">
        <x:v>1</x:v>
      </x:c>
      <x:c r="F119" s="46" t="n">
        <x:v>3</x:v>
      </x:c>
      <x:c r="P119" s="46" t="n">
        <x:v>1</x:v>
      </x:c>
      <x:c r="U119" s="10" t="n">
        <x:v>5</x:v>
      </x:c>
    </x:row>
    <x:row r="120" spans="1:21">
      <x:c r="A120" s="8" t="s"/>
      <x:c r="B120" s="47" t="s">
        <x:v>91</x:v>
      </x:c>
      <x:c r="C120" s="9" t="s"/>
      <x:c r="P120" s="46" t="n">
        <x:v>1</x:v>
      </x:c>
      <x:c r="U120" s="10" t="n">
        <x:v>1</x:v>
      </x:c>
    </x:row>
    <x:row r="121" spans="1:21">
      <x:c r="A121" s="8" t="s"/>
      <x:c r="B121" s="9" t="s">
        <x:v>174</x:v>
      </x:c>
      <x:c r="C121" s="9" t="s"/>
      <x:c r="P121" s="46" t="n">
        <x:v>9</x:v>
      </x:c>
      <x:c r="U121" s="10" t="n">
        <x:v>9</x:v>
      </x:c>
    </x:row>
    <x:row r="122" spans="1:21">
      <x:c r="A122" s="8" t="s"/>
      <x:c r="B122" s="9" t="s">
        <x:v>175</x:v>
      </x:c>
      <x:c r="C122" s="9" t="s"/>
      <x:c r="P122" s="46" t="n">
        <x:v>1</x:v>
      </x:c>
      <x:c r="U122" s="10" t="n">
        <x:v>1</x:v>
      </x:c>
    </x:row>
    <x:row r="123" spans="1:21">
      <x:c r="A123" s="8" t="s"/>
      <x:c r="B123" s="9" t="s">
        <x:v>94</x:v>
      </x:c>
      <x:c r="C123" s="9" t="s"/>
      <x:c r="D123" s="46" t="n">
        <x:v>1</x:v>
      </x:c>
      <x:c r="F123" s="46" t="n">
        <x:v>1</x:v>
      </x:c>
      <x:c r="U123" s="10" t="n">
        <x:v>2</x:v>
      </x:c>
    </x:row>
    <x:row r="124" spans="1:21">
      <x:c r="A124" s="11" t="s">
        <x:v>18</x:v>
      </x:c>
      <x:c r="B124" s="12" t="s"/>
      <x:c r="C124" s="11" t="n">
        <x:v>112.675</x:v>
      </x:c>
      <x:c r="D124" s="13" t="n">
        <x:v>10.5</x:v>
      </x:c>
      <x:c r="E124" s="13" t="n">
        <x:v>10.45</x:v>
      </x:c>
      <x:c r="F124" s="13" t="n">
        <x:v>27</x:v>
      </x:c>
      <x:c r="G124" s="13" t="n">
        <x:v>161</x:v>
      </x:c>
      <x:c r="H124" s="13" t="n">
        <x:v>97.35</x:v>
      </x:c>
      <x:c r="I124" s="13" t="n">
        <x:v>2</x:v>
      </x:c>
      <x:c r="J124" s="13" t="n">
        <x:v>8.3</x:v>
      </x:c>
      <x:c r="K124" s="13" t="n">
        <x:v>16.5</x:v>
      </x:c>
      <x:c r="L124" s="13" t="n">
        <x:v>14</x:v>
      </x:c>
      <x:c r="M124" s="13" t="n">
        <x:v>2</x:v>
      </x:c>
      <x:c r="N124" s="13" t="n">
        <x:v>7.6</x:v>
      </x:c>
      <x:c r="O124" s="13" t="n">
        <x:v>0.1</x:v>
      </x:c>
      <x:c r="P124" s="13" t="n">
        <x:v>31</x:v>
      </x:c>
      <x:c r="Q124" s="13" t="n">
        <x:v>1</x:v>
      </x:c>
      <x:c r="R124" s="13" t="n">
        <x:v>7</x:v>
      </x:c>
      <x:c r="S124" s="13" t="n">
        <x:v>58</x:v>
      </x:c>
      <x:c r="T124" s="13" t="n">
        <x:v>7.5</x:v>
      </x:c>
      <x:c r="U124" s="14" t="n">
        <x:v>573.975</x:v>
      </x:c>
    </x:row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164"/>
  <x:sheetViews>
    <x:sheetView topLeftCell="A136" workbookViewId="0">
      <x:selection activeCell="K37" sqref="K37 K37:K37"/>
    </x:sheetView>
  </x:sheetViews>
  <x:sheetFormatPr defaultColWidth="13.561875" defaultRowHeight="15"/>
  <x:cols>
    <x:col min="1" max="1" width="26.570312" style="46" customWidth="1"/>
    <x:col min="2" max="2" width="43.710938" style="46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43</x:v>
      </x:c>
      <x:c r="S1" s="6" t="s">
        <x:v>17</x:v>
      </x:c>
      <x:c r="T1" s="7" t="s">
        <x:v>18</x:v>
      </x:c>
    </x:row>
    <x:row r="2" spans="1:20">
      <x:c r="A2" s="5" t="s">
        <x:v>176</x:v>
      </x:c>
      <x:c r="B2" s="5" t="s">
        <x:v>177</x:v>
      </x:c>
      <x:c r="C2" s="5" t="s"/>
      <x:c r="D2" s="6" t="s"/>
      <x:c r="E2" s="6" t="s"/>
      <x:c r="F2" s="6" t="s"/>
      <x:c r="G2" s="6" t="n">
        <x:v>1</x:v>
      </x:c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7" t="n">
        <x:v>1</x:v>
      </x:c>
    </x:row>
    <x:row r="3" spans="1:20">
      <x:c r="A3" s="8" t="s"/>
      <x:c r="B3" s="9" t="s">
        <x:v>178</x:v>
      </x:c>
      <x:c r="C3" s="9" t="s"/>
      <x:c r="H3" s="46" t="n">
        <x:v>1</x:v>
      </x:c>
      <x:c r="T3" s="10" t="n">
        <x:v>1</x:v>
      </x:c>
    </x:row>
    <x:row r="4" spans="1:20">
      <x:c r="A4" s="8" t="s"/>
      <x:c r="B4" s="5" t="s">
        <x:v>179</x:v>
      </x:c>
      <x:c r="C4" s="5" t="s"/>
      <x:c r="D4" s="6" t="s"/>
      <x:c r="E4" s="6" t="s"/>
      <x:c r="F4" s="6" t="s"/>
      <x:c r="G4" s="6" t="s"/>
      <x:c r="H4" s="6" t="s"/>
      <x:c r="I4" s="6" t="s"/>
      <x:c r="J4" s="6" t="s"/>
      <x:c r="K4" s="6" t="s"/>
      <x:c r="L4" s="6" t="s"/>
      <x:c r="M4" s="6" t="n">
        <x:v>1</x:v>
      </x:c>
      <x:c r="N4" s="6" t="s"/>
      <x:c r="O4" s="6" t="s"/>
      <x:c r="P4" s="6" t="s"/>
      <x:c r="Q4" s="6" t="s"/>
      <x:c r="R4" s="6" t="s"/>
      <x:c r="S4" s="6" t="s"/>
      <x:c r="T4" s="7" t="n">
        <x:v>1</x:v>
      </x:c>
    </x:row>
    <x:row r="5" spans="1:20">
      <x:c r="A5" s="8" t="s"/>
      <x:c r="B5" s="9" t="s">
        <x:v>180</x:v>
      </x:c>
      <x:c r="C5" s="9" t="s"/>
      <x:c r="Q5" s="46" t="n">
        <x:v>2</x:v>
      </x:c>
      <x:c r="T5" s="10" t="n">
        <x:v>2</x:v>
      </x:c>
    </x:row>
    <x:row r="6" spans="1:20">
      <x:c r="A6" s="8" t="s"/>
      <x:c r="B6" s="9" t="s">
        <x:v>181</x:v>
      </x:c>
      <x:c r="C6" s="9" t="s"/>
      <x:c r="O6" s="46" t="n">
        <x:v>1</x:v>
      </x:c>
      <x:c r="T6" s="10" t="n">
        <x:v>1</x:v>
      </x:c>
    </x:row>
    <x:row r="7" spans="1:20">
      <x:c r="A7" s="8" t="s"/>
      <x:c r="B7" s="9" t="s">
        <x:v>182</x:v>
      </x:c>
      <x:c r="C7" s="9" t="s"/>
      <x:c r="O7" s="46" t="n">
        <x:v>1</x:v>
      </x:c>
      <x:c r="T7" s="10" t="n">
        <x:v>1</x:v>
      </x:c>
    </x:row>
    <x:row r="8" spans="1:20">
      <x:c r="A8" s="8" t="s"/>
      <x:c r="B8" s="9" t="s">
        <x:v>183</x:v>
      </x:c>
      <x:c r="C8" s="9" t="n">
        <x:v>1</x:v>
      </x:c>
      <x:c r="T8" s="10" t="n">
        <x:v>1</x:v>
      </x:c>
    </x:row>
    <x:row r="9" spans="1:20">
      <x:c r="A9" s="8" t="s"/>
      <x:c r="B9" s="47" t="s">
        <x:v>184</x:v>
      </x:c>
      <x:c r="C9" s="9" t="n">
        <x:v>1</x:v>
      </x:c>
      <x:c r="D9" s="46" t="n">
        <x:v>1</x:v>
      </x:c>
      <x:c r="E9" s="46" t="n">
        <x:v>9.65</x:v>
      </x:c>
      <x:c r="F9" s="46" t="n">
        <x:v>6</x:v>
      </x:c>
      <x:c r="G9" s="46" t="n">
        <x:v>68</x:v>
      </x:c>
      <x:c r="H9" s="46" t="n">
        <x:v>2.5</x:v>
      </x:c>
      <x:c r="I9" s="46" t="n">
        <x:v>3</x:v>
      </x:c>
      <x:c r="N9" s="46" t="n">
        <x:v>3.65</x:v>
      </x:c>
      <x:c r="O9" s="46" t="n">
        <x:v>1</x:v>
      </x:c>
      <x:c r="P9" s="46" t="n">
        <x:v>9</x:v>
      </x:c>
      <x:c r="S9" s="46" t="n">
        <x:v>8</x:v>
      </x:c>
      <x:c r="T9" s="10" t="n">
        <x:v>112.8</x:v>
      </x:c>
    </x:row>
    <x:row r="10" spans="1:20">
      <x:c r="A10" s="8" t="s"/>
      <x:c r="B10" s="9" t="s">
        <x:v>185</x:v>
      </x:c>
      <x:c r="C10" s="9" t="n">
        <x:v>13.5</x:v>
      </x:c>
      <x:c r="G10" s="46" t="n">
        <x:v>9</x:v>
      </x:c>
      <x:c r="H10" s="46" t="n">
        <x:v>11</x:v>
      </x:c>
      <x:c r="Q10" s="46" t="n">
        <x:v>7</x:v>
      </x:c>
      <x:c r="S10" s="46" t="n">
        <x:v>3</x:v>
      </x:c>
      <x:c r="T10" s="10" t="n">
        <x:v>43.5</x:v>
      </x:c>
    </x:row>
    <x:row r="11" spans="1:20">
      <x:c r="A11" s="8" t="s"/>
      <x:c r="B11" s="9" t="s">
        <x:v>186</x:v>
      </x:c>
      <x:c r="C11" s="9" t="n">
        <x:v>7</x:v>
      </x:c>
      <x:c r="G11" s="46" t="n">
        <x:v>4</x:v>
      </x:c>
      <x:c r="H11" s="46" t="n">
        <x:v>3</x:v>
      </x:c>
      <x:c r="I11" s="46" t="n">
        <x:v>1</x:v>
      </x:c>
      <x:c r="K11" s="46" t="n">
        <x:v>1</x:v>
      </x:c>
      <x:c r="T11" s="10" t="n">
        <x:v>16</x:v>
      </x:c>
    </x:row>
    <x:row r="12" spans="1:20">
      <x:c r="A12" s="8" t="s"/>
      <x:c r="B12" s="9" t="s">
        <x:v>187</x:v>
      </x:c>
      <x:c r="C12" s="9" t="s"/>
      <x:c r="O12" s="46" t="n">
        <x:v>1</x:v>
      </x:c>
      <x:c r="T12" s="10" t="n">
        <x:v>1</x:v>
      </x:c>
    </x:row>
    <x:row r="13" spans="1:20">
      <x:c r="A13" s="8" t="s"/>
      <x:c r="B13" s="9" t="s">
        <x:v>188</x:v>
      </x:c>
      <x:c r="C13" s="9" t="s"/>
      <x:c r="H13" s="46" t="n">
        <x:v>1</x:v>
      </x:c>
      <x:c r="T13" s="10" t="n">
        <x:v>1</x:v>
      </x:c>
    </x:row>
    <x:row r="14" spans="1:20">
      <x:c r="A14" s="8" t="s"/>
      <x:c r="B14" s="9" t="s">
        <x:v>189</x:v>
      </x:c>
      <x:c r="C14" s="9" t="s"/>
      <x:c r="G14" s="46" t="n">
        <x:v>12</x:v>
      </x:c>
      <x:c r="T14" s="10" t="n">
        <x:v>12</x:v>
      </x:c>
    </x:row>
    <x:row r="15" spans="1:20">
      <x:c r="A15" s="8" t="s"/>
      <x:c r="B15" s="9" t="s">
        <x:v>190</x:v>
      </x:c>
      <x:c r="C15" s="9" t="n">
        <x:v>15</x:v>
      </x:c>
      <x:c r="F15" s="46" t="n">
        <x:v>11</x:v>
      </x:c>
      <x:c r="H15" s="46" t="n">
        <x:v>27.5</x:v>
      </x:c>
      <x:c r="I15" s="46" t="n">
        <x:v>3</x:v>
      </x:c>
      <x:c r="J15" s="46" t="n">
        <x:v>5</x:v>
      </x:c>
      <x:c r="M15" s="46" t="n">
        <x:v>3</x:v>
      </x:c>
      <x:c r="P15" s="46" t="n">
        <x:v>1</x:v>
      </x:c>
      <x:c r="S15" s="46" t="n">
        <x:v>9</x:v>
      </x:c>
      <x:c r="T15" s="10" t="n">
        <x:v>74.5</x:v>
      </x:c>
    </x:row>
    <x:row r="16" spans="1:20">
      <x:c r="A16" s="8" t="s"/>
      <x:c r="B16" s="9" t="s">
        <x:v>191</x:v>
      </x:c>
      <x:c r="C16" s="9" t="s"/>
      <x:c r="H16" s="46" t="n">
        <x:v>1</x:v>
      </x:c>
      <x:c r="T16" s="10" t="n">
        <x:v>1</x:v>
      </x:c>
    </x:row>
    <x:row r="17" spans="1:20">
      <x:c r="A17" s="8" t="s"/>
      <x:c r="B17" s="9" t="s">
        <x:v>192</x:v>
      </x:c>
      <x:c r="C17" s="9" t="n">
        <x:v>1</x:v>
      </x:c>
      <x:c r="H17" s="46" t="n">
        <x:v>6.2</x:v>
      </x:c>
      <x:c r="J17" s="46" t="n">
        <x:v>1</x:v>
      </x:c>
      <x:c r="P17" s="46" t="n">
        <x:v>3</x:v>
      </x:c>
      <x:c r="T17" s="10" t="n">
        <x:v>11.2</x:v>
      </x:c>
    </x:row>
    <x:row r="18" spans="1:20">
      <x:c r="A18" s="8" t="s"/>
      <x:c r="B18" s="9" t="s">
        <x:v>193</x:v>
      </x:c>
      <x:c r="C18" s="9" t="n">
        <x:v>3</x:v>
      </x:c>
      <x:c r="T18" s="10" t="n">
        <x:v>3</x:v>
      </x:c>
    </x:row>
    <x:row r="19" spans="1:20">
      <x:c r="A19" s="8" t="s"/>
      <x:c r="B19" s="9" t="s">
        <x:v>194</x:v>
      </x:c>
      <x:c r="C19" s="9" t="s"/>
      <x:c r="M19" s="46" t="n">
        <x:v>2</x:v>
      </x:c>
      <x:c r="T19" s="10" t="n">
        <x:v>2</x:v>
      </x:c>
    </x:row>
    <x:row r="20" spans="1:20">
      <x:c r="A20" s="8" t="s"/>
      <x:c r="B20" s="9" t="s">
        <x:v>195</x:v>
      </x:c>
      <x:c r="C20" s="9" t="s"/>
      <x:c r="P20" s="46" t="n">
        <x:v>2</x:v>
      </x:c>
      <x:c r="T20" s="10" t="n">
        <x:v>2</x:v>
      </x:c>
    </x:row>
    <x:row r="21" spans="1:20">
      <x:c r="A21" s="8" t="s"/>
      <x:c r="B21" s="9" t="s">
        <x:v>196</x:v>
      </x:c>
      <x:c r="C21" s="9" t="s"/>
      <x:c r="H21" s="46" t="n">
        <x:v>1</x:v>
      </x:c>
      <x:c r="T21" s="10" t="n">
        <x:v>1</x:v>
      </x:c>
    </x:row>
    <x:row r="22" spans="1:20">
      <x:c r="A22" s="8" t="s"/>
      <x:c r="B22" s="9" t="s">
        <x:v>197</x:v>
      </x:c>
      <x:c r="C22" s="9" t="n">
        <x:v>1</x:v>
      </x:c>
      <x:c r="T22" s="10" t="n">
        <x:v>1</x:v>
      </x:c>
    </x:row>
    <x:row r="23" spans="1:20">
      <x:c r="A23" s="8" t="s"/>
      <x:c r="B23" s="9" t="s">
        <x:v>198</x:v>
      </x:c>
      <x:c r="C23" s="9" t="s"/>
      <x:c r="Q23" s="46" t="n">
        <x:v>2</x:v>
      </x:c>
      <x:c r="T23" s="10" t="n">
        <x:v>2</x:v>
      </x:c>
    </x:row>
    <x:row r="24" spans="1:20">
      <x:c r="A24" s="8" t="s"/>
      <x:c r="B24" s="9" t="s">
        <x:v>199</x:v>
      </x:c>
      <x:c r="C24" s="9" t="s"/>
      <x:c r="J24" s="46" t="n">
        <x:v>2</x:v>
      </x:c>
      <x:c r="M24" s="46" t="n">
        <x:v>1</x:v>
      </x:c>
      <x:c r="T24" s="10" t="n">
        <x:v>3</x:v>
      </x:c>
    </x:row>
    <x:row r="25" spans="1:20">
      <x:c r="A25" s="8" t="s"/>
      <x:c r="B25" s="9" t="s">
        <x:v>200</x:v>
      </x:c>
      <x:c r="C25" s="9" t="s"/>
      <x:c r="J25" s="46" t="n">
        <x:v>1</x:v>
      </x:c>
      <x:c r="T25" s="10" t="n">
        <x:v>1</x:v>
      </x:c>
    </x:row>
    <x:row r="26" spans="1:20">
      <x:c r="A26" s="8" t="s"/>
      <x:c r="B26" s="47" t="s">
        <x:v>201</x:v>
      </x:c>
      <x:c r="C26" s="9" t="n">
        <x:v>3.5</x:v>
      </x:c>
      <x:c r="H26" s="46" t="n">
        <x:v>6</x:v>
      </x:c>
      <x:c r="K26" s="46" t="n">
        <x:v>1</x:v>
      </x:c>
      <x:c r="L26" s="46" t="n">
        <x:v>1</x:v>
      </x:c>
      <x:c r="M26" s="46" t="n">
        <x:v>2</x:v>
      </x:c>
      <x:c r="Q26" s="46" t="n">
        <x:v>1</x:v>
      </x:c>
      <x:c r="T26" s="10" t="n">
        <x:v>14.5</x:v>
      </x:c>
    </x:row>
    <x:row r="27" spans="1:20">
      <x:c r="A27" s="8" t="s"/>
      <x:c r="B27" s="9" t="s">
        <x:v>202</x:v>
      </x:c>
      <x:c r="C27" s="9" t="n">
        <x:v>6</x:v>
      </x:c>
      <x:c r="H27" s="46" t="n">
        <x:v>2</x:v>
      </x:c>
      <x:c r="J27" s="46" t="n">
        <x:v>2</x:v>
      </x:c>
      <x:c r="Q27" s="46" t="n">
        <x:v>3</x:v>
      </x:c>
      <x:c r="T27" s="10" t="n">
        <x:v>13</x:v>
      </x:c>
    </x:row>
    <x:row r="28" spans="1:20">
      <x:c r="A28" s="8" t="s"/>
      <x:c r="B28" s="9" t="s">
        <x:v>203</x:v>
      </x:c>
      <x:c r="C28" s="9" t="s"/>
      <x:c r="F28" s="46" t="n">
        <x:v>1</x:v>
      </x:c>
      <x:c r="T28" s="10" t="n">
        <x:v>1</x:v>
      </x:c>
    </x:row>
    <x:row r="29" spans="1:20">
      <x:c r="A29" s="8" t="s"/>
      <x:c r="B29" s="9" t="s">
        <x:v>204</x:v>
      </x:c>
      <x:c r="C29" s="9" t="s"/>
      <x:c r="H29" s="46" t="n">
        <x:v>1</x:v>
      </x:c>
      <x:c r="T29" s="10" t="n">
        <x:v>1</x:v>
      </x:c>
    </x:row>
    <x:row r="30" spans="1:20">
      <x:c r="A30" s="8" t="s"/>
      <x:c r="B30" s="9" t="s">
        <x:v>205</x:v>
      </x:c>
      <x:c r="C30" s="9" t="s"/>
      <x:c r="H30" s="46" t="n">
        <x:v>2</x:v>
      </x:c>
      <x:c r="T30" s="10" t="n">
        <x:v>2</x:v>
      </x:c>
    </x:row>
    <x:row r="31" spans="1:20">
      <x:c r="A31" s="8" t="s"/>
      <x:c r="B31" s="9" t="s">
        <x:v>206</x:v>
      </x:c>
      <x:c r="C31" s="9" t="s"/>
      <x:c r="S31" s="46" t="n">
        <x:v>1</x:v>
      </x:c>
      <x:c r="T31" s="10" t="n">
        <x:v>1</x:v>
      </x:c>
    </x:row>
    <x:row r="32" spans="1:20">
      <x:c r="A32" s="8" t="s"/>
      <x:c r="B32" s="9" t="s">
        <x:v>207</x:v>
      </x:c>
      <x:c r="C32" s="9" t="s"/>
      <x:c r="H32" s="46" t="n">
        <x:v>1</x:v>
      </x:c>
      <x:c r="T32" s="10" t="n">
        <x:v>1</x:v>
      </x:c>
    </x:row>
    <x:row r="33" spans="1:20">
      <x:c r="A33" s="8" t="s"/>
      <x:c r="B33" s="9" t="s">
        <x:v>208</x:v>
      </x:c>
      <x:c r="C33" s="9" t="n">
        <x:v>0.5</x:v>
      </x:c>
      <x:c r="D33" s="46" t="n">
        <x:v>1</x:v>
      </x:c>
      <x:c r="E33" s="46" t="n">
        <x:v>0.1</x:v>
      </x:c>
      <x:c r="F33" s="46" t="n">
        <x:v>2</x:v>
      </x:c>
      <x:c r="K33" s="46" t="n">
        <x:v>2</x:v>
      </x:c>
      <x:c r="Q33" s="46" t="n">
        <x:v>1</x:v>
      </x:c>
      <x:c r="S33" s="46" t="n">
        <x:v>1</x:v>
      </x:c>
      <x:c r="T33" s="10" t="n">
        <x:v>7.6</x:v>
      </x:c>
    </x:row>
    <x:row r="34" spans="1:20">
      <x:c r="A34" s="8" t="s"/>
      <x:c r="B34" s="9" t="s">
        <x:v>209</x:v>
      </x:c>
      <x:c r="C34" s="9" t="s"/>
      <x:c r="H34" s="46" t="n">
        <x:v>2</x:v>
      </x:c>
      <x:c r="T34" s="10" t="n">
        <x:v>2</x:v>
      </x:c>
    </x:row>
    <x:row r="35" spans="1:20">
      <x:c r="A35" s="8" t="s"/>
      <x:c r="B35" s="9" t="s">
        <x:v>210</x:v>
      </x:c>
      <x:c r="C35" s="9" t="s"/>
      <x:c r="D35" s="46" t="n">
        <x:v>1</x:v>
      </x:c>
      <x:c r="F35" s="46" t="n">
        <x:v>1</x:v>
      </x:c>
      <x:c r="T35" s="10" t="n">
        <x:v>2</x:v>
      </x:c>
    </x:row>
    <x:row r="36" spans="1:20">
      <x:c r="A36" s="8" t="s"/>
      <x:c r="B36" s="9" t="s">
        <x:v>211</x:v>
      </x:c>
      <x:c r="C36" s="9" t="s"/>
      <x:c r="G36" s="46" t="n">
        <x:v>1</x:v>
      </x:c>
      <x:c r="S36" s="46" t="n">
        <x:v>0.5</x:v>
      </x:c>
      <x:c r="T36" s="10" t="n">
        <x:v>1.5</x:v>
      </x:c>
    </x:row>
    <x:row r="37" spans="1:20">
      <x:c r="A37" s="8" t="s"/>
      <x:c r="B37" s="9" t="s">
        <x:v>212</x:v>
      </x:c>
      <x:c r="C37" s="9" t="s"/>
      <x:c r="E37" s="46" t="n">
        <x:v>0.2</x:v>
      </x:c>
      <x:c r="H37" s="46" t="n">
        <x:v>0.5</x:v>
      </x:c>
      <x:c r="N37" s="46" t="n">
        <x:v>0.2</x:v>
      </x:c>
      <x:c r="S37" s="46" t="n">
        <x:v>0.2</x:v>
      </x:c>
      <x:c r="T37" s="10" t="n">
        <x:v>1.1</x:v>
      </x:c>
    </x:row>
    <x:row r="38" spans="1:20">
      <x:c r="A38" s="8" t="s"/>
      <x:c r="B38" s="9" t="s">
        <x:v>213</x:v>
      </x:c>
      <x:c r="C38" s="9" t="n">
        <x:v>1</x:v>
      </x:c>
      <x:c r="T38" s="10" t="n">
        <x:v>1</x:v>
      </x:c>
    </x:row>
    <x:row r="39" spans="1:20">
      <x:c r="A39" s="8" t="s"/>
      <x:c r="B39" s="9" t="s">
        <x:v>214</x:v>
      </x:c>
      <x:c r="C39" s="9" t="n">
        <x:v>1</x:v>
      </x:c>
      <x:c r="H39" s="46" t="n">
        <x:v>1</x:v>
      </x:c>
      <x:c r="T39" s="10" t="n">
        <x:v>2</x:v>
      </x:c>
    </x:row>
    <x:row r="40" spans="1:20">
      <x:c r="A40" s="8" t="s"/>
      <x:c r="B40" s="9" t="s">
        <x:v>215</x:v>
      </x:c>
      <x:c r="C40" s="9" t="n">
        <x:v>1</x:v>
      </x:c>
      <x:c r="P40" s="46" t="n">
        <x:v>1</x:v>
      </x:c>
      <x:c r="T40" s="10" t="n">
        <x:v>2</x:v>
      </x:c>
    </x:row>
    <x:row r="41" spans="1:20">
      <x:c r="A41" s="8" t="s"/>
      <x:c r="B41" s="9" t="s">
        <x:v>216</x:v>
      </x:c>
      <x:c r="C41" s="9" t="s"/>
      <x:c r="F41" s="46" t="n">
        <x:v>0.25</x:v>
      </x:c>
      <x:c r="H41" s="46" t="n">
        <x:v>3</x:v>
      </x:c>
      <x:c r="T41" s="10" t="n">
        <x:v>3.25</x:v>
      </x:c>
    </x:row>
    <x:row r="42" spans="1:20">
      <x:c r="A42" s="8" t="s"/>
      <x:c r="B42" s="9" t="s">
        <x:v>177</x:v>
      </x:c>
      <x:c r="C42" s="9" t="s"/>
      <x:c r="K42" s="46" t="n">
        <x:v>1</x:v>
      </x:c>
      <x:c r="S42" s="46" t="n">
        <x:v>0.25</x:v>
      </x:c>
      <x:c r="T42" s="10" t="n">
        <x:v>1.25</x:v>
      </x:c>
    </x:row>
    <x:row r="43" spans="1:20">
      <x:c r="A43" s="8" t="s"/>
      <x:c r="B43" s="9" t="s">
        <x:v>217</x:v>
      </x:c>
      <x:c r="C43" s="9" t="s"/>
      <x:c r="D43" s="46" t="n">
        <x:v>0.5</x:v>
      </x:c>
      <x:c r="F43" s="46" t="n">
        <x:v>1</x:v>
      </x:c>
      <x:c r="H43" s="46" t="n">
        <x:v>1</x:v>
      </x:c>
      <x:c r="P43" s="46" t="n">
        <x:v>1</x:v>
      </x:c>
      <x:c r="Q43" s="46" t="n">
        <x:v>0.25</x:v>
      </x:c>
      <x:c r="S43" s="46" t="n">
        <x:v>1</x:v>
      </x:c>
      <x:c r="T43" s="10" t="n">
        <x:v>4.75</x:v>
      </x:c>
    </x:row>
    <x:row r="44" spans="1:20">
      <x:c r="A44" s="8" t="s"/>
      <x:c r="B44" s="9" t="s">
        <x:v>218</x:v>
      </x:c>
      <x:c r="C44" s="9" t="n">
        <x:v>2</x:v>
      </x:c>
      <x:c r="T44" s="10" t="n">
        <x:v>2</x:v>
      </x:c>
    </x:row>
    <x:row r="45" spans="1:20">
      <x:c r="A45" s="8" t="s"/>
      <x:c r="B45" s="9" t="s">
        <x:v>219</x:v>
      </x:c>
      <x:c r="C45" s="9" t="s"/>
      <x:c r="D45" s="46" t="n">
        <x:v>1</x:v>
      </x:c>
      <x:c r="G45" s="46" t="n">
        <x:v>2</x:v>
      </x:c>
      <x:c r="H45" s="46" t="n">
        <x:v>2</x:v>
      </x:c>
      <x:c r="P45" s="46" t="n">
        <x:v>1</x:v>
      </x:c>
      <x:c r="Q45" s="46" t="n">
        <x:v>0.2</x:v>
      </x:c>
      <x:c r="T45" s="10" t="n">
        <x:v>6.2</x:v>
      </x:c>
    </x:row>
    <x:row r="46" spans="1:20">
      <x:c r="A46" s="8" t="s"/>
      <x:c r="B46" s="9" t="s">
        <x:v>220</x:v>
      </x:c>
      <x:c r="C46" s="9" t="s"/>
      <x:c r="K46" s="46" t="n">
        <x:v>1</x:v>
      </x:c>
      <x:c r="T46" s="10" t="n">
        <x:v>1</x:v>
      </x:c>
    </x:row>
    <x:row r="47" spans="1:20">
      <x:c r="A47" s="8" t="s"/>
      <x:c r="B47" s="9" t="s">
        <x:v>221</x:v>
      </x:c>
      <x:c r="C47" s="9" t="n">
        <x:v>1</x:v>
      </x:c>
      <x:c r="H47" s="46" t="n">
        <x:v>1</x:v>
      </x:c>
      <x:c r="T47" s="10" t="n">
        <x:v>2</x:v>
      </x:c>
    </x:row>
    <x:row r="48" spans="1:20">
      <x:c r="A48" s="8" t="s"/>
      <x:c r="B48" s="9" t="s">
        <x:v>222</x:v>
      </x:c>
      <x:c r="C48" s="9" t="n">
        <x:v>1</x:v>
      </x:c>
      <x:c r="T48" s="10" t="n">
        <x:v>1</x:v>
      </x:c>
    </x:row>
    <x:row r="49" spans="1:20">
      <x:c r="A49" s="8" t="s"/>
      <x:c r="B49" s="9" t="s">
        <x:v>223</x:v>
      </x:c>
      <x:c r="C49" s="9" t="s"/>
      <x:c r="K49" s="46" t="n">
        <x:v>1</x:v>
      </x:c>
      <x:c r="S49" s="46" t="n">
        <x:v>0.5</x:v>
      </x:c>
      <x:c r="T49" s="10" t="n">
        <x:v>1.5</x:v>
      </x:c>
    </x:row>
    <x:row r="50" spans="1:20">
      <x:c r="A50" s="8" t="s"/>
      <x:c r="B50" s="9" t="s">
        <x:v>224</x:v>
      </x:c>
      <x:c r="C50" s="9" t="n">
        <x:v>1</x:v>
      </x:c>
      <x:c r="N50" s="46" t="n">
        <x:v>0.5</x:v>
      </x:c>
      <x:c r="T50" s="10" t="n">
        <x:v>1.5</x:v>
      </x:c>
    </x:row>
    <x:row r="51" spans="1:20">
      <x:c r="A51" s="8" t="s"/>
      <x:c r="B51" s="9" t="s">
        <x:v>225</x:v>
      </x:c>
      <x:c r="C51" s="9" t="n">
        <x:v>2</x:v>
      </x:c>
      <x:c r="K51" s="46" t="n">
        <x:v>0.25</x:v>
      </x:c>
      <x:c r="T51" s="10" t="n">
        <x:v>2.25</x:v>
      </x:c>
    </x:row>
    <x:row r="52" spans="1:20">
      <x:c r="A52" s="8" t="s"/>
      <x:c r="B52" s="9" t="s">
        <x:v>226</x:v>
      </x:c>
      <x:c r="C52" s="9" t="s"/>
      <x:c r="H52" s="46" t="n">
        <x:v>1</x:v>
      </x:c>
      <x:c r="T52" s="10" t="n">
        <x:v>1</x:v>
      </x:c>
    </x:row>
    <x:row r="53" spans="1:20">
      <x:c r="A53" s="8" t="s"/>
      <x:c r="B53" s="9" t="s">
        <x:v>227</x:v>
      </x:c>
      <x:c r="C53" s="9" t="s"/>
      <x:c r="G53" s="46" t="n">
        <x:v>1</x:v>
      </x:c>
      <x:c r="T53" s="10" t="n">
        <x:v>1</x:v>
      </x:c>
    </x:row>
    <x:row r="54" spans="1:20">
      <x:c r="A54" s="8" t="s"/>
      <x:c r="B54" s="9" t="s">
        <x:v>228</x:v>
      </x:c>
      <x:c r="C54" s="9" t="s"/>
      <x:c r="H54" s="46" t="n">
        <x:v>2</x:v>
      </x:c>
      <x:c r="T54" s="10" t="n">
        <x:v>2</x:v>
      </x:c>
    </x:row>
    <x:row r="55" spans="1:20">
      <x:c r="A55" s="8" t="s"/>
      <x:c r="B55" s="9" t="s">
        <x:v>229</x:v>
      </x:c>
      <x:c r="C55" s="9" t="s"/>
      <x:c r="Q55" s="46" t="n">
        <x:v>2</x:v>
      </x:c>
      <x:c r="T55" s="10" t="n">
        <x:v>2</x:v>
      </x:c>
    </x:row>
    <x:row r="56" spans="1:20">
      <x:c r="A56" s="8" t="s"/>
      <x:c r="B56" s="9" t="s">
        <x:v>230</x:v>
      </x:c>
      <x:c r="C56" s="9" t="s"/>
      <x:c r="S56" s="46" t="n">
        <x:v>1</x:v>
      </x:c>
      <x:c r="T56" s="10" t="n">
        <x:v>1</x:v>
      </x:c>
    </x:row>
    <x:row r="57" spans="1:20">
      <x:c r="A57" s="8" t="s"/>
      <x:c r="B57" s="9" t="s">
        <x:v>231</x:v>
      </x:c>
      <x:c r="C57" s="9" t="n">
        <x:v>1</x:v>
      </x:c>
      <x:c r="T57" s="10" t="n">
        <x:v>1</x:v>
      </x:c>
    </x:row>
    <x:row r="58" spans="1:20">
      <x:c r="A58" s="8" t="s"/>
      <x:c r="B58" s="9" t="s">
        <x:v>232</x:v>
      </x:c>
      <x:c r="C58" s="9" t="s"/>
      <x:c r="K58" s="46" t="n">
        <x:v>1</x:v>
      </x:c>
      <x:c r="T58" s="10" t="n">
        <x:v>1</x:v>
      </x:c>
    </x:row>
    <x:row r="59" spans="1:20">
      <x:c r="A59" s="8" t="s"/>
      <x:c r="B59" s="9" t="s">
        <x:v>233</x:v>
      </x:c>
      <x:c r="C59" s="9" t="s"/>
      <x:c r="S59" s="46" t="n">
        <x:v>1</x:v>
      </x:c>
      <x:c r="T59" s="10" t="n">
        <x:v>1</x:v>
      </x:c>
    </x:row>
    <x:row r="60" spans="1:20">
      <x:c r="A60" s="8" t="s"/>
      <x:c r="B60" s="9" t="s">
        <x:v>234</x:v>
      </x:c>
      <x:c r="C60" s="9" t="s"/>
      <x:c r="P60" s="46" t="n">
        <x:v>1</x:v>
      </x:c>
      <x:c r="T60" s="10" t="n">
        <x:v>1</x:v>
      </x:c>
    </x:row>
    <x:row r="61" spans="1:20">
      <x:c r="A61" s="8" t="s"/>
      <x:c r="B61" s="9" t="s">
        <x:v>235</x:v>
      </x:c>
      <x:c r="C61" s="9" t="n">
        <x:v>1</x:v>
      </x:c>
      <x:c r="M61" s="46" t="n">
        <x:v>1</x:v>
      </x:c>
      <x:c r="T61" s="10" t="n">
        <x:v>2</x:v>
      </x:c>
    </x:row>
    <x:row r="62" spans="1:20">
      <x:c r="A62" s="8" t="s"/>
      <x:c r="B62" s="9" t="s">
        <x:v>236</x:v>
      </x:c>
      <x:c r="C62" s="9" t="s"/>
      <x:c r="H62" s="46" t="n">
        <x:v>1</x:v>
      </x:c>
      <x:c r="S62" s="46" t="n">
        <x:v>7</x:v>
      </x:c>
      <x:c r="T62" s="10" t="n">
        <x:v>8</x:v>
      </x:c>
    </x:row>
    <x:row r="63" spans="1:20">
      <x:c r="A63" s="8" t="s"/>
      <x:c r="B63" s="9" t="s">
        <x:v>237</x:v>
      </x:c>
      <x:c r="C63" s="9" t="s"/>
      <x:c r="K63" s="46" t="n">
        <x:v>2</x:v>
      </x:c>
      <x:c r="T63" s="10" t="n">
        <x:v>2</x:v>
      </x:c>
    </x:row>
    <x:row r="64" spans="1:20">
      <x:c r="A64" s="8" t="s"/>
      <x:c r="B64" s="9" t="s">
        <x:v>238</x:v>
      </x:c>
      <x:c r="C64" s="9" t="s"/>
      <x:c r="N64" s="46" t="n">
        <x:v>2</x:v>
      </x:c>
      <x:c r="T64" s="10" t="n">
        <x:v>2</x:v>
      </x:c>
    </x:row>
    <x:row r="65" spans="1:20">
      <x:c r="A65" s="8" t="s"/>
      <x:c r="B65" s="9" t="s">
        <x:v>239</x:v>
      </x:c>
      <x:c r="C65" s="9" t="s"/>
      <x:c r="D65" s="46" t="n">
        <x:v>3</x:v>
      </x:c>
      <x:c r="E65" s="46" t="n">
        <x:v>1.4</x:v>
      </x:c>
      <x:c r="F65" s="46" t="n">
        <x:v>4</x:v>
      </x:c>
      <x:c r="G65" s="46" t="n">
        <x:v>1</x:v>
      </x:c>
      <x:c r="N65" s="46" t="n">
        <x:v>0.8</x:v>
      </x:c>
      <x:c r="P65" s="46" t="n">
        <x:v>2</x:v>
      </x:c>
      <x:c r="T65" s="10" t="n">
        <x:v>12.2</x:v>
      </x:c>
    </x:row>
    <x:row r="66" spans="1:20">
      <x:c r="A66" s="8" t="s"/>
      <x:c r="B66" s="9" t="s">
        <x:v>240</x:v>
      </x:c>
      <x:c r="C66" s="9" t="s"/>
      <x:c r="D66" s="46" t="n">
        <x:v>3</x:v>
      </x:c>
      <x:c r="N66" s="46" t="n">
        <x:v>1</x:v>
      </x:c>
      <x:c r="T66" s="10" t="n">
        <x:v>4</x:v>
      </x:c>
    </x:row>
    <x:row r="67" spans="1:20">
      <x:c r="A67" s="8" t="s"/>
      <x:c r="B67" s="9" t="s">
        <x:v>241</x:v>
      </x:c>
      <x:c r="C67" s="9" t="s"/>
      <x:c r="E67" s="46" t="n">
        <x:v>1.75</x:v>
      </x:c>
      <x:c r="N67" s="46" t="n">
        <x:v>2</x:v>
      </x:c>
      <x:c r="Q67" s="46" t="n">
        <x:v>8</x:v>
      </x:c>
      <x:c r="T67" s="10" t="n">
        <x:v>11.75</x:v>
      </x:c>
    </x:row>
    <x:row r="68" spans="1:20">
      <x:c r="A68" s="8" t="s"/>
      <x:c r="B68" s="9" t="s">
        <x:v>242</x:v>
      </x:c>
      <x:c r="C68" s="9" t="s"/>
      <x:c r="H68" s="46" t="n">
        <x:v>1</x:v>
      </x:c>
      <x:c r="K68" s="46" t="n">
        <x:v>1</x:v>
      </x:c>
      <x:c r="T68" s="10" t="n">
        <x:v>2</x:v>
      </x:c>
    </x:row>
    <x:row r="69" spans="1:20">
      <x:c r="A69" s="8" t="s"/>
      <x:c r="B69" s="9" t="s">
        <x:v>243</x:v>
      </x:c>
      <x:c r="C69" s="9" t="s"/>
      <x:c r="Q69" s="46" t="n">
        <x:v>11</x:v>
      </x:c>
      <x:c r="T69" s="10" t="n">
        <x:v>11</x:v>
      </x:c>
    </x:row>
    <x:row r="70" spans="1:20">
      <x:c r="A70" s="8" t="s"/>
      <x:c r="B70" s="9" t="s">
        <x:v>244</x:v>
      </x:c>
      <x:c r="C70" s="9" t="n">
        <x:v>2</x:v>
      </x:c>
      <x:c r="D70" s="46" t="n">
        <x:v>2</x:v>
      </x:c>
      <x:c r="F70" s="46" t="n">
        <x:v>2</x:v>
      </x:c>
      <x:c r="G70" s="46" t="n">
        <x:v>1</x:v>
      </x:c>
      <x:c r="H70" s="46" t="n">
        <x:v>1</x:v>
      </x:c>
      <x:c r="S70" s="46" t="n">
        <x:v>4</x:v>
      </x:c>
      <x:c r="T70" s="10" t="n">
        <x:v>12</x:v>
      </x:c>
    </x:row>
    <x:row r="71" spans="1:20">
      <x:c r="A71" s="8" t="s"/>
      <x:c r="B71" s="9" t="s">
        <x:v>245</x:v>
      </x:c>
      <x:c r="C71" s="9" t="s"/>
      <x:c r="D71" s="46" t="n">
        <x:v>5</x:v>
      </x:c>
      <x:c r="H71" s="46" t="n">
        <x:v>2</x:v>
      </x:c>
      <x:c r="K71" s="46" t="n">
        <x:v>5</x:v>
      </x:c>
      <x:c r="S71" s="46" t="n">
        <x:v>4</x:v>
      </x:c>
      <x:c r="T71" s="10" t="n">
        <x:v>16</x:v>
      </x:c>
    </x:row>
    <x:row r="72" spans="1:20">
      <x:c r="A72" s="8" t="s"/>
      <x:c r="B72" s="9" t="s">
        <x:v>246</x:v>
      </x:c>
      <x:c r="C72" s="9" t="s"/>
      <x:c r="N72" s="46" t="n">
        <x:v>7</x:v>
      </x:c>
      <x:c r="T72" s="10" t="n">
        <x:v>7</x:v>
      </x:c>
    </x:row>
    <x:row r="73" spans="1:20">
      <x:c r="A73" s="8" t="s"/>
      <x:c r="B73" s="9" t="s">
        <x:v>247</x:v>
      </x:c>
      <x:c r="C73" s="9" t="s"/>
      <x:c r="H73" s="46" t="n">
        <x:v>1</x:v>
      </x:c>
      <x:c r="K73" s="46" t="n">
        <x:v>1</x:v>
      </x:c>
      <x:c r="T73" s="10" t="n">
        <x:v>2</x:v>
      </x:c>
    </x:row>
    <x:row r="74" spans="1:20">
      <x:c r="A74" s="8" t="s"/>
      <x:c r="B74" s="9" t="s">
        <x:v>248</x:v>
      </x:c>
      <x:c r="C74" s="9" t="s"/>
      <x:c r="G74" s="46" t="n">
        <x:v>1</x:v>
      </x:c>
      <x:c r="T74" s="10" t="n">
        <x:v>1</x:v>
      </x:c>
    </x:row>
    <x:row r="75" spans="1:20">
      <x:c r="A75" s="8" t="s"/>
      <x:c r="B75" s="9" t="s">
        <x:v>249</x:v>
      </x:c>
      <x:c r="C75" s="9" t="s"/>
      <x:c r="H75" s="46" t="n">
        <x:v>1</x:v>
      </x:c>
      <x:c r="L75" s="46" t="n">
        <x:v>0.5</x:v>
      </x:c>
      <x:c r="T75" s="10" t="n">
        <x:v>1.5</x:v>
      </x:c>
    </x:row>
    <x:row r="76" spans="1:20">
      <x:c r="A76" s="8" t="s"/>
      <x:c r="B76" s="9" t="s">
        <x:v>250</x:v>
      </x:c>
      <x:c r="C76" s="9" t="s"/>
      <x:c r="H76" s="46" t="n">
        <x:v>2</x:v>
      </x:c>
      <x:c r="T76" s="10" t="n">
        <x:v>2</x:v>
      </x:c>
    </x:row>
    <x:row r="77" spans="1:20">
      <x:c r="A77" s="8" t="s"/>
      <x:c r="B77" s="9" t="s">
        <x:v>251</x:v>
      </x:c>
      <x:c r="C77" s="9" t="s"/>
      <x:c r="H77" s="46" t="n">
        <x:v>2</x:v>
      </x:c>
      <x:c r="T77" s="10" t="n">
        <x:v>2</x:v>
      </x:c>
    </x:row>
    <x:row r="78" spans="1:20">
      <x:c r="A78" s="8" t="s"/>
      <x:c r="B78" s="9" t="s">
        <x:v>252</x:v>
      </x:c>
      <x:c r="C78" s="9" t="s"/>
      <x:c r="D78" s="46" t="n">
        <x:v>1</x:v>
      </x:c>
      <x:c r="F78" s="46" t="n">
        <x:v>1</x:v>
      </x:c>
      <x:c r="G78" s="46" t="n">
        <x:v>4</x:v>
      </x:c>
      <x:c r="H78" s="46" t="n">
        <x:v>2</x:v>
      </x:c>
      <x:c r="P78" s="46" t="n">
        <x:v>1</x:v>
      </x:c>
      <x:c r="T78" s="10" t="n">
        <x:v>9</x:v>
      </x:c>
    </x:row>
    <x:row r="79" spans="1:20">
      <x:c r="A79" s="8" t="s"/>
      <x:c r="B79" s="9" t="s">
        <x:v>253</x:v>
      </x:c>
      <x:c r="C79" s="9" t="s"/>
      <x:c r="H79" s="46" t="n">
        <x:v>2</x:v>
      </x:c>
      <x:c r="T79" s="10" t="n">
        <x:v>2</x:v>
      </x:c>
    </x:row>
    <x:row r="80" spans="1:20">
      <x:c r="A80" s="8" t="s"/>
      <x:c r="B80" s="9" t="s">
        <x:v>254</x:v>
      </x:c>
      <x:c r="C80" s="9" t="n">
        <x:v>1</x:v>
      </x:c>
      <x:c r="T80" s="10" t="n">
        <x:v>1</x:v>
      </x:c>
    </x:row>
    <x:row r="81" spans="1:20">
      <x:c r="A81" s="8" t="s"/>
      <x:c r="B81" s="9" t="s">
        <x:v>255</x:v>
      </x:c>
      <x:c r="C81" s="9" t="s"/>
      <x:c r="O81" s="46" t="n">
        <x:v>4</x:v>
      </x:c>
      <x:c r="T81" s="10" t="n">
        <x:v>4</x:v>
      </x:c>
    </x:row>
    <x:row r="82" spans="1:20">
      <x:c r="A82" s="8" t="s"/>
      <x:c r="B82" s="9" t="s">
        <x:v>256</x:v>
      </x:c>
      <x:c r="C82" s="9" t="s"/>
      <x:c r="O82" s="46" t="n">
        <x:v>5</x:v>
      </x:c>
      <x:c r="T82" s="10" t="n">
        <x:v>5</x:v>
      </x:c>
    </x:row>
    <x:row r="83" spans="1:20">
      <x:c r="A83" s="8" t="s"/>
      <x:c r="B83" s="9" t="s">
        <x:v>257</x:v>
      </x:c>
      <x:c r="C83" s="9" t="n">
        <x:v>6</x:v>
      </x:c>
      <x:c r="E83" s="46" t="n">
        <x:v>1.25</x:v>
      </x:c>
      <x:c r="F83" s="46" t="n">
        <x:v>0.1</x:v>
      </x:c>
      <x:c r="H83" s="46" t="n">
        <x:v>4</x:v>
      </x:c>
      <x:c r="M83" s="46" t="n">
        <x:v>1</x:v>
      </x:c>
      <x:c r="N83" s="46" t="n">
        <x:v>0.4</x:v>
      </x:c>
      <x:c r="T83" s="10" t="n">
        <x:v>12.75</x:v>
      </x:c>
    </x:row>
    <x:row r="84" spans="1:20">
      <x:c r="A84" s="8" t="s"/>
      <x:c r="B84" s="9" t="s">
        <x:v>258</x:v>
      </x:c>
      <x:c r="C84" s="9" t="n">
        <x:v>0.5</x:v>
      </x:c>
      <x:c r="G84" s="46" t="n">
        <x:v>2</x:v>
      </x:c>
      <x:c r="P84" s="46" t="n">
        <x:v>0.5</x:v>
      </x:c>
      <x:c r="Q84" s="46" t="n">
        <x:v>7</x:v>
      </x:c>
      <x:c r="T84" s="10" t="n">
        <x:v>10</x:v>
      </x:c>
    </x:row>
    <x:row r="85" spans="1:20">
      <x:c r="A85" s="8" t="s"/>
      <x:c r="B85" s="9" t="s">
        <x:v>259</x:v>
      </x:c>
      <x:c r="C85" s="9" t="n">
        <x:v>2.75</x:v>
      </x:c>
      <x:c r="P85" s="46" t="n">
        <x:v>0.5</x:v>
      </x:c>
      <x:c r="Q85" s="46" t="n">
        <x:v>2.75</x:v>
      </x:c>
      <x:c r="R85" s="46" t="n">
        <x:v>0.5</x:v>
      </x:c>
      <x:c r="T85" s="10" t="n">
        <x:v>6.5</x:v>
      </x:c>
    </x:row>
    <x:row r="86" spans="1:20">
      <x:c r="A86" s="8" t="s"/>
      <x:c r="B86" s="9" t="s">
        <x:v>260</x:v>
      </x:c>
      <x:c r="C86" s="9" t="s"/>
      <x:c r="H86" s="46" t="n">
        <x:v>1</x:v>
      </x:c>
      <x:c r="M86" s="46" t="n">
        <x:v>2</x:v>
      </x:c>
      <x:c r="T86" s="10" t="n">
        <x:v>3</x:v>
      </x:c>
    </x:row>
    <x:row r="87" spans="1:20">
      <x:c r="A87" s="8" t="s"/>
      <x:c r="B87" s="9" t="s">
        <x:v>261</x:v>
      </x:c>
      <x:c r="C87" s="9" t="n">
        <x:v>0.5</x:v>
      </x:c>
      <x:c r="T87" s="10" t="n">
        <x:v>0.5</x:v>
      </x:c>
    </x:row>
    <x:row r="88" spans="1:20">
      <x:c r="A88" s="8" t="s"/>
      <x:c r="B88" s="9" t="s">
        <x:v>262</x:v>
      </x:c>
      <x:c r="C88" s="9" t="s"/>
      <x:c r="H88" s="46" t="n">
        <x:v>5</x:v>
      </x:c>
      <x:c r="S88" s="46" t="n">
        <x:v>4</x:v>
      </x:c>
      <x:c r="T88" s="10" t="n">
        <x:v>9</x:v>
      </x:c>
    </x:row>
    <x:row r="89" spans="1:20">
      <x:c r="A89" s="8" t="s"/>
      <x:c r="B89" s="9" t="s">
        <x:v>263</x:v>
      </x:c>
      <x:c r="C89" s="9" t="n">
        <x:v>5</x:v>
      </x:c>
      <x:c r="T89" s="10" t="n">
        <x:v>5</x:v>
      </x:c>
    </x:row>
    <x:row r="90" spans="1:20">
      <x:c r="A90" s="8" t="s"/>
      <x:c r="B90" s="9" t="s">
        <x:v>264</x:v>
      </x:c>
      <x:c r="C90" s="9" t="s"/>
      <x:c r="S90" s="46" t="n">
        <x:v>3</x:v>
      </x:c>
      <x:c r="T90" s="10" t="n">
        <x:v>3</x:v>
      </x:c>
    </x:row>
    <x:row r="91" spans="1:20">
      <x:c r="A91" s="8" t="s"/>
      <x:c r="B91" s="9" t="s">
        <x:v>265</x:v>
      </x:c>
      <x:c r="C91" s="9" t="s"/>
      <x:c r="S91" s="46" t="n">
        <x:v>4</x:v>
      </x:c>
      <x:c r="T91" s="10" t="n">
        <x:v>4</x:v>
      </x:c>
    </x:row>
    <x:row r="92" spans="1:20">
      <x:c r="A92" s="8" t="s"/>
      <x:c r="B92" s="9" t="s">
        <x:v>266</x:v>
      </x:c>
      <x:c r="C92" s="9" t="n">
        <x:v>6</x:v>
      </x:c>
      <x:c r="T92" s="10" t="n">
        <x:v>6</x:v>
      </x:c>
    </x:row>
    <x:row r="93" spans="1:20">
      <x:c r="A93" s="8" t="s"/>
      <x:c r="B93" s="9" t="s">
        <x:v>267</x:v>
      </x:c>
      <x:c r="C93" s="9" t="s"/>
      <x:c r="F93" s="46" t="n">
        <x:v>1</x:v>
      </x:c>
      <x:c r="T93" s="10" t="n">
        <x:v>1</x:v>
      </x:c>
    </x:row>
    <x:row r="94" spans="1:20">
      <x:c r="A94" s="8" t="s"/>
      <x:c r="B94" s="9" t="s">
        <x:v>268</x:v>
      </x:c>
      <x:c r="C94" s="9" t="s"/>
      <x:c r="Q94" s="46" t="n">
        <x:v>2</x:v>
      </x:c>
      <x:c r="T94" s="10" t="n">
        <x:v>2</x:v>
      </x:c>
    </x:row>
    <x:row r="95" spans="1:20">
      <x:c r="A95" s="8" t="s"/>
      <x:c r="B95" s="9" t="s">
        <x:v>269</x:v>
      </x:c>
      <x:c r="C95" s="9" t="n">
        <x:v>7.25</x:v>
      </x:c>
      <x:c r="H95" s="46" t="n">
        <x:v>11.5</x:v>
      </x:c>
      <x:c r="K95" s="46" t="n">
        <x:v>1.25</x:v>
      </x:c>
      <x:c r="T95" s="10" t="n">
        <x:v>20</x:v>
      </x:c>
    </x:row>
    <x:row r="96" spans="1:20">
      <x:c r="A96" s="8" t="s"/>
      <x:c r="B96" s="9" t="s">
        <x:v>270</x:v>
      </x:c>
      <x:c r="C96" s="9" t="n">
        <x:v>2</x:v>
      </x:c>
      <x:c r="T96" s="10" t="n">
        <x:v>2</x:v>
      </x:c>
    </x:row>
    <x:row r="97" spans="1:20">
      <x:c r="A97" s="8" t="s"/>
      <x:c r="B97" s="9" t="s">
        <x:v>271</x:v>
      </x:c>
      <x:c r="C97" s="9" t="n">
        <x:v>0.25</x:v>
      </x:c>
      <x:c r="T97" s="10" t="n">
        <x:v>0.25</x:v>
      </x:c>
    </x:row>
    <x:row r="98" spans="1:20">
      <x:c r="A98" s="8" t="s"/>
      <x:c r="B98" s="9" t="s">
        <x:v>272</x:v>
      </x:c>
      <x:c r="C98" s="9" t="s"/>
      <x:c r="Q98" s="46" t="n">
        <x:v>4</x:v>
      </x:c>
      <x:c r="T98" s="10" t="n">
        <x:v>4</x:v>
      </x:c>
    </x:row>
    <x:row r="99" spans="1:20">
      <x:c r="A99" s="8" t="s"/>
      <x:c r="B99" s="9" t="s">
        <x:v>273</x:v>
      </x:c>
      <x:c r="C99" s="9" t="n">
        <x:v>2</x:v>
      </x:c>
      <x:c r="T99" s="10" t="n">
        <x:v>2</x:v>
      </x:c>
    </x:row>
    <x:row r="100" spans="1:20">
      <x:c r="A100" s="8" t="s"/>
      <x:c r="B100" s="9" t="s">
        <x:v>274</x:v>
      </x:c>
      <x:c r="C100" s="9" t="s"/>
      <x:c r="S100" s="46" t="n">
        <x:v>1</x:v>
      </x:c>
      <x:c r="T100" s="10" t="n">
        <x:v>1</x:v>
      </x:c>
    </x:row>
    <x:row r="101" spans="1:20">
      <x:c r="A101" s="8" t="s"/>
      <x:c r="B101" s="9" t="s">
        <x:v>275</x:v>
      </x:c>
      <x:c r="C101" s="9" t="s"/>
      <x:c r="Q101" s="46" t="n">
        <x:v>2</x:v>
      </x:c>
      <x:c r="T101" s="10" t="n">
        <x:v>2</x:v>
      </x:c>
    </x:row>
    <x:row r="102" spans="1:20">
      <x:c r="A102" s="8" t="s"/>
      <x:c r="B102" s="9" t="s">
        <x:v>276</x:v>
      </x:c>
      <x:c r="C102" s="9" t="s"/>
      <x:c r="Q102" s="46" t="n">
        <x:v>1</x:v>
      </x:c>
      <x:c r="T102" s="10" t="n">
        <x:v>1</x:v>
      </x:c>
    </x:row>
    <x:row r="103" spans="1:20">
      <x:c r="A103" s="8" t="s"/>
      <x:c r="B103" s="9" t="s">
        <x:v>277</x:v>
      </x:c>
      <x:c r="C103" s="9" t="s"/>
      <x:c r="E103" s="46" t="n">
        <x:v>1</x:v>
      </x:c>
      <x:c r="T103" s="10" t="n">
        <x:v>1</x:v>
      </x:c>
    </x:row>
    <x:row r="104" spans="1:20">
      <x:c r="A104" s="8" t="s"/>
      <x:c r="B104" s="9" t="s">
        <x:v>278</x:v>
      </x:c>
      <x:c r="C104" s="9" t="s"/>
      <x:c r="D104" s="46" t="n">
        <x:v>1.2</x:v>
      </x:c>
      <x:c r="F104" s="46" t="n">
        <x:v>1.5</x:v>
      </x:c>
      <x:c r="G104" s="46" t="n">
        <x:v>1</x:v>
      </x:c>
      <x:c r="H104" s="46" t="n">
        <x:v>1</x:v>
      </x:c>
      <x:c r="S104" s="46" t="n">
        <x:v>1</x:v>
      </x:c>
      <x:c r="T104" s="10" t="n">
        <x:v>5.7</x:v>
      </x:c>
    </x:row>
    <x:row r="105" spans="1:20">
      <x:c r="A105" s="8" t="s"/>
      <x:c r="B105" s="9" t="s">
        <x:v>279</x:v>
      </x:c>
      <x:c r="C105" s="9" t="s"/>
      <x:c r="Q105" s="46" t="n">
        <x:v>1</x:v>
      </x:c>
      <x:c r="T105" s="10" t="n">
        <x:v>1</x:v>
      </x:c>
    </x:row>
    <x:row r="106" spans="1:20">
      <x:c r="A106" s="8" t="s"/>
      <x:c r="B106" s="9" t="s">
        <x:v>280</x:v>
      </x:c>
      <x:c r="C106" s="9" t="n">
        <x:v>2</x:v>
      </x:c>
      <x:c r="T106" s="10" t="n">
        <x:v>2</x:v>
      </x:c>
    </x:row>
    <x:row r="107" spans="1:20">
      <x:c r="A107" s="8" t="s"/>
      <x:c r="B107" s="9" t="s">
        <x:v>281</x:v>
      </x:c>
      <x:c r="C107" s="9" t="n">
        <x:v>0.5</x:v>
      </x:c>
      <x:c r="T107" s="10" t="n">
        <x:v>0.5</x:v>
      </x:c>
    </x:row>
    <x:row r="108" spans="1:20">
      <x:c r="A108" s="8" t="s"/>
      <x:c r="B108" s="9" t="s">
        <x:v>282</x:v>
      </x:c>
      <x:c r="C108" s="9" t="s"/>
      <x:c r="H108" s="46" t="n">
        <x:v>0.25</x:v>
      </x:c>
      <x:c r="T108" s="10" t="n">
        <x:v>0.25</x:v>
      </x:c>
    </x:row>
    <x:row r="109" spans="1:20">
      <x:c r="A109" s="8" t="s"/>
      <x:c r="B109" s="9" t="s">
        <x:v>283</x:v>
      </x:c>
      <x:c r="C109" s="9" t="s"/>
      <x:c r="Q109" s="46" t="n">
        <x:v>2</x:v>
      </x:c>
      <x:c r="S109" s="46" t="n">
        <x:v>0.5</x:v>
      </x:c>
      <x:c r="T109" s="10" t="n">
        <x:v>2.5</x:v>
      </x:c>
    </x:row>
    <x:row r="110" spans="1:20">
      <x:c r="A110" s="8" t="s"/>
      <x:c r="B110" s="9" t="s">
        <x:v>284</x:v>
      </x:c>
      <x:c r="C110" s="9" t="s"/>
      <x:c r="O110" s="46" t="n">
        <x:v>1</x:v>
      </x:c>
      <x:c r="T110" s="10" t="n">
        <x:v>1</x:v>
      </x:c>
    </x:row>
    <x:row r="111" spans="1:20">
      <x:c r="A111" s="8" t="s"/>
      <x:c r="B111" s="9" t="s">
        <x:v>285</x:v>
      </x:c>
      <x:c r="C111" s="9" t="s"/>
      <x:c r="D111" s="46" t="n">
        <x:v>1</x:v>
      </x:c>
      <x:c r="Q111" s="46" t="n">
        <x:v>2</x:v>
      </x:c>
      <x:c r="S111" s="46" t="n">
        <x:v>1</x:v>
      </x:c>
      <x:c r="T111" s="10" t="n">
        <x:v>4</x:v>
      </x:c>
    </x:row>
    <x:row r="112" spans="1:20">
      <x:c r="A112" s="8" t="s"/>
      <x:c r="B112" s="9" t="s">
        <x:v>286</x:v>
      </x:c>
      <x:c r="C112" s="9" t="s"/>
      <x:c r="D112" s="46" t="n">
        <x:v>1</x:v>
      </x:c>
      <x:c r="T112" s="10" t="n">
        <x:v>1</x:v>
      </x:c>
    </x:row>
    <x:row r="113" spans="1:20">
      <x:c r="A113" s="8" t="s"/>
      <x:c r="B113" s="9" t="s">
        <x:v>287</x:v>
      </x:c>
      <x:c r="C113" s="9" t="s"/>
      <x:c r="O113" s="46" t="n">
        <x:v>1</x:v>
      </x:c>
      <x:c r="T113" s="10" t="n">
        <x:v>1</x:v>
      </x:c>
    </x:row>
    <x:row r="114" spans="1:20">
      <x:c r="A114" s="8" t="s"/>
      <x:c r="B114" s="47" t="s">
        <x:v>288</x:v>
      </x:c>
      <x:c r="C114" s="9" t="n">
        <x:v>3</x:v>
      </x:c>
      <x:c r="E114" s="46" t="n">
        <x:v>0.75</x:v>
      </x:c>
      <x:c r="G114" s="46" t="n">
        <x:v>3.25</x:v>
      </x:c>
      <x:c r="H114" s="46" t="n">
        <x:v>3</x:v>
      </x:c>
      <x:c r="K114" s="46" t="n">
        <x:v>1</x:v>
      </x:c>
      <x:c r="N114" s="46" t="n">
        <x:v>0.25</x:v>
      </x:c>
      <x:c r="P114" s="46" t="n">
        <x:v>1</x:v>
      </x:c>
      <x:c r="S114" s="46" t="n">
        <x:v>1</x:v>
      </x:c>
      <x:c r="T114" s="10" t="n">
        <x:v>13.25</x:v>
      </x:c>
    </x:row>
    <x:row r="115" spans="1:20">
      <x:c r="A115" s="8" t="s"/>
      <x:c r="B115" s="9" t="s">
        <x:v>289</x:v>
      </x:c>
      <x:c r="C115" s="9" t="n">
        <x:v>2</x:v>
      </x:c>
      <x:c r="T115" s="10" t="n">
        <x:v>2</x:v>
      </x:c>
    </x:row>
    <x:row r="116" spans="1:20">
      <x:c r="A116" s="8" t="s"/>
      <x:c r="B116" s="9" t="s">
        <x:v>290</x:v>
      </x:c>
      <x:c r="C116" s="9" t="s"/>
      <x:c r="G116" s="46" t="n">
        <x:v>1</x:v>
      </x:c>
      <x:c r="T116" s="10" t="n">
        <x:v>1</x:v>
      </x:c>
    </x:row>
    <x:row r="117" spans="1:20">
      <x:c r="A117" s="8" t="s"/>
      <x:c r="B117" s="9" t="s">
        <x:v>291</x:v>
      </x:c>
      <x:c r="C117" s="9" t="s"/>
      <x:c r="O117" s="46" t="n">
        <x:v>0.5</x:v>
      </x:c>
      <x:c r="T117" s="10" t="n">
        <x:v>0.5</x:v>
      </x:c>
    </x:row>
    <x:row r="118" spans="1:20">
      <x:c r="A118" s="8" t="s"/>
      <x:c r="B118" s="9" t="s">
        <x:v>292</x:v>
      </x:c>
      <x:c r="C118" s="9" t="s"/>
      <x:c r="O118" s="46" t="n">
        <x:v>2</x:v>
      </x:c>
      <x:c r="T118" s="10" t="n">
        <x:v>2</x:v>
      </x:c>
    </x:row>
    <x:row r="119" spans="1:20">
      <x:c r="A119" s="8" t="s"/>
      <x:c r="B119" s="9" t="s">
        <x:v>293</x:v>
      </x:c>
      <x:c r="C119" s="9" t="s"/>
      <x:c r="Q119" s="46" t="n">
        <x:v>5</x:v>
      </x:c>
      <x:c r="T119" s="10" t="n">
        <x:v>5</x:v>
      </x:c>
    </x:row>
    <x:row r="120" spans="1:20">
      <x:c r="A120" s="8" t="s"/>
      <x:c r="B120" s="9" t="s">
        <x:v>294</x:v>
      </x:c>
      <x:c r="C120" s="9" t="s"/>
      <x:c r="I120" s="46" t="n">
        <x:v>1</x:v>
      </x:c>
      <x:c r="T120" s="10" t="n">
        <x:v>1</x:v>
      </x:c>
    </x:row>
    <x:row r="121" spans="1:20">
      <x:c r="A121" s="8" t="s"/>
      <x:c r="B121" s="9" t="s">
        <x:v>295</x:v>
      </x:c>
      <x:c r="C121" s="9" t="s"/>
      <x:c r="O121" s="46" t="n">
        <x:v>0.5</x:v>
      </x:c>
      <x:c r="T121" s="10" t="n">
        <x:v>0.5</x:v>
      </x:c>
    </x:row>
    <x:row r="122" spans="1:20">
      <x:c r="A122" s="8" t="s"/>
      <x:c r="B122" s="9" t="s">
        <x:v>296</x:v>
      </x:c>
      <x:c r="C122" s="9" t="s"/>
      <x:c r="H122" s="46" t="n">
        <x:v>3</x:v>
      </x:c>
      <x:c r="Q122" s="46" t="n">
        <x:v>1</x:v>
      </x:c>
      <x:c r="S122" s="46" t="n">
        <x:v>1</x:v>
      </x:c>
      <x:c r="T122" s="10" t="n">
        <x:v>5</x:v>
      </x:c>
    </x:row>
    <x:row r="123" spans="1:20">
      <x:c r="A123" s="8" t="s"/>
      <x:c r="B123" s="9" t="s">
        <x:v>297</x:v>
      </x:c>
      <x:c r="C123" s="9" t="s"/>
      <x:c r="H123" s="46" t="n">
        <x:v>1</x:v>
      </x:c>
      <x:c r="T123" s="10" t="n">
        <x:v>1</x:v>
      </x:c>
    </x:row>
    <x:row r="124" spans="1:20">
      <x:c r="A124" s="8" t="s"/>
      <x:c r="B124" s="9" t="s">
        <x:v>298</x:v>
      </x:c>
      <x:c r="C124" s="9" t="s"/>
      <x:c r="H124" s="46" t="n">
        <x:v>1</x:v>
      </x:c>
      <x:c r="I124" s="46" t="n">
        <x:v>1</x:v>
      </x:c>
      <x:c r="T124" s="10" t="n">
        <x:v>2</x:v>
      </x:c>
    </x:row>
    <x:row r="125" spans="1:20">
      <x:c r="A125" s="8" t="s"/>
      <x:c r="B125" s="9" t="s">
        <x:v>299</x:v>
      </x:c>
      <x:c r="C125" s="9" t="s"/>
      <x:c r="O125" s="46" t="n">
        <x:v>1</x:v>
      </x:c>
      <x:c r="T125" s="10" t="n">
        <x:v>1</x:v>
      </x:c>
    </x:row>
    <x:row r="126" spans="1:20">
      <x:c r="A126" s="8" t="s"/>
      <x:c r="B126" s="9" t="s">
        <x:v>300</x:v>
      </x:c>
      <x:c r="C126" s="9" t="s"/>
      <x:c r="D126" s="46" t="n">
        <x:v>2</x:v>
      </x:c>
      <x:c r="Q126" s="46" t="n">
        <x:v>1</x:v>
      </x:c>
      <x:c r="T126" s="10" t="n">
        <x:v>3</x:v>
      </x:c>
    </x:row>
    <x:row r="127" spans="1:20">
      <x:c r="A127" s="8" t="s"/>
      <x:c r="B127" s="9" t="s">
        <x:v>301</x:v>
      </x:c>
      <x:c r="C127" s="9" t="s"/>
      <x:c r="Q127" s="46" t="n">
        <x:v>1</x:v>
      </x:c>
      <x:c r="T127" s="10" t="n">
        <x:v>1</x:v>
      </x:c>
    </x:row>
    <x:row r="128" spans="1:20">
      <x:c r="A128" s="8" t="s"/>
      <x:c r="B128" s="9" t="s">
        <x:v>302</x:v>
      </x:c>
      <x:c r="C128" s="9" t="s"/>
      <x:c r="H128" s="46" t="n">
        <x:v>1</x:v>
      </x:c>
      <x:c r="T128" s="10" t="n">
        <x:v>1</x:v>
      </x:c>
    </x:row>
    <x:row r="129" spans="1:20">
      <x:c r="A129" s="8" t="s"/>
      <x:c r="B129" s="9" t="s">
        <x:v>303</x:v>
      </x:c>
      <x:c r="C129" s="9" t="s"/>
      <x:c r="G129" s="46" t="n">
        <x:v>2</x:v>
      </x:c>
      <x:c r="T129" s="10" t="n">
        <x:v>2</x:v>
      </x:c>
    </x:row>
    <x:row r="130" spans="1:20">
      <x:c r="A130" s="8" t="s"/>
      <x:c r="B130" s="9" t="s">
        <x:v>304</x:v>
      </x:c>
      <x:c r="C130" s="9" t="s"/>
      <x:c r="H130" s="46" t="n">
        <x:v>1</x:v>
      </x:c>
      <x:c r="T130" s="10" t="n">
        <x:v>1</x:v>
      </x:c>
    </x:row>
    <x:row r="131" spans="1:20">
      <x:c r="A131" s="8" t="s"/>
      <x:c r="B131" s="9" t="s">
        <x:v>305</x:v>
      </x:c>
      <x:c r="C131" s="9" t="s"/>
      <x:c r="E131" s="46" t="n">
        <x:v>2</x:v>
      </x:c>
      <x:c r="T131" s="10" t="n">
        <x:v>2</x:v>
      </x:c>
    </x:row>
    <x:row r="132" spans="1:20">
      <x:c r="A132" s="8" t="s"/>
      <x:c r="B132" s="9" t="s">
        <x:v>306</x:v>
      </x:c>
      <x:c r="C132" s="9" t="s"/>
      <x:c r="Q132" s="46" t="n">
        <x:v>16</x:v>
      </x:c>
      <x:c r="T132" s="10" t="n">
        <x:v>16</x:v>
      </x:c>
    </x:row>
    <x:row r="133" spans="1:20">
      <x:c r="A133" s="8" t="s"/>
      <x:c r="B133" s="9" t="s">
        <x:v>307</x:v>
      </x:c>
      <x:c r="C133" s="9" t="s"/>
      <x:c r="F133" s="46" t="n">
        <x:v>0.3</x:v>
      </x:c>
      <x:c r="T133" s="10" t="n">
        <x:v>0.3</x:v>
      </x:c>
    </x:row>
    <x:row r="134" spans="1:20">
      <x:c r="A134" s="8" t="s"/>
      <x:c r="B134" s="9" t="s">
        <x:v>308</x:v>
      </x:c>
      <x:c r="C134" s="9" t="s"/>
      <x:c r="D134" s="46" t="n">
        <x:v>0.5</x:v>
      </x:c>
      <x:c r="G134" s="46" t="n">
        <x:v>0.25</x:v>
      </x:c>
      <x:c r="T134" s="10" t="n">
        <x:v>0.75</x:v>
      </x:c>
    </x:row>
    <x:row r="135" spans="1:20">
      <x:c r="A135" s="8" t="s"/>
      <x:c r="B135" s="9" t="s">
        <x:v>309</x:v>
      </x:c>
      <x:c r="C135" s="9" t="s"/>
      <x:c r="F135" s="46" t="n">
        <x:v>1</x:v>
      </x:c>
      <x:c r="T135" s="10" t="n">
        <x:v>1</x:v>
      </x:c>
    </x:row>
    <x:row r="136" spans="1:20">
      <x:c r="A136" s="8" t="s"/>
      <x:c r="B136" s="9" t="s">
        <x:v>310</x:v>
      </x:c>
      <x:c r="C136" s="9" t="s"/>
      <x:c r="N136" s="46" t="n">
        <x:v>1</x:v>
      </x:c>
      <x:c r="T136" s="10" t="n">
        <x:v>1</x:v>
      </x:c>
    </x:row>
    <x:row r="137" spans="1:20">
      <x:c r="A137" s="8" t="s"/>
      <x:c r="B137" s="9" t="s">
        <x:v>311</x:v>
      </x:c>
      <x:c r="C137" s="9" t="s"/>
      <x:c r="G137" s="46" t="n">
        <x:v>0.1</x:v>
      </x:c>
      <x:c r="N137" s="46" t="n">
        <x:v>0.15</x:v>
      </x:c>
      <x:c r="T137" s="10" t="n">
        <x:v>0.25</x:v>
      </x:c>
    </x:row>
    <x:row r="138" spans="1:20">
      <x:c r="A138" s="8" t="s"/>
      <x:c r="B138" s="9" t="s">
        <x:v>312</x:v>
      </x:c>
      <x:c r="C138" s="9" t="s"/>
      <x:c r="E138" s="46" t="n">
        <x:v>0.2</x:v>
      </x:c>
      <x:c r="T138" s="10" t="n">
        <x:v>0.2</x:v>
      </x:c>
    </x:row>
    <x:row r="139" spans="1:20">
      <x:c r="A139" s="8" t="s"/>
      <x:c r="B139" s="9" t="s">
        <x:v>313</x:v>
      </x:c>
      <x:c r="C139" s="9" t="s"/>
      <x:c r="O139" s="46" t="n">
        <x:v>1</x:v>
      </x:c>
      <x:c r="T139" s="10" t="n">
        <x:v>1</x:v>
      </x:c>
    </x:row>
    <x:row r="140" spans="1:20">
      <x:c r="A140" s="8" t="s"/>
      <x:c r="B140" s="9" t="s">
        <x:v>314</x:v>
      </x:c>
      <x:c r="C140" s="9" t="s"/>
      <x:c r="E140" s="46" t="n">
        <x:v>0.25</x:v>
      </x:c>
      <x:c r="N140" s="46" t="n">
        <x:v>0.75</x:v>
      </x:c>
      <x:c r="T140" s="10" t="n">
        <x:v>1</x:v>
      </x:c>
    </x:row>
    <x:row r="141" spans="1:20">
      <x:c r="A141" s="8" t="s"/>
      <x:c r="B141" s="9" t="s">
        <x:v>315</x:v>
      </x:c>
      <x:c r="C141" s="9" t="s"/>
      <x:c r="H141" s="46" t="n">
        <x:v>1</x:v>
      </x:c>
      <x:c r="T141" s="10" t="n">
        <x:v>1</x:v>
      </x:c>
    </x:row>
    <x:row r="142" spans="1:20">
      <x:c r="A142" s="8" t="s"/>
      <x:c r="B142" s="9" t="s">
        <x:v>316</x:v>
      </x:c>
      <x:c r="C142" s="9" t="s"/>
      <x:c r="G142" s="46" t="n">
        <x:v>61</x:v>
      </x:c>
      <x:c r="T142" s="10" t="n">
        <x:v>61</x:v>
      </x:c>
    </x:row>
    <x:row r="143" spans="1:20">
      <x:c r="A143" s="8" t="s"/>
      <x:c r="B143" s="9" t="s">
        <x:v>317</x:v>
      </x:c>
      <x:c r="C143" s="9" t="s"/>
      <x:c r="G143" s="46" t="n">
        <x:v>1</x:v>
      </x:c>
      <x:c r="T143" s="10" t="n">
        <x:v>1</x:v>
      </x:c>
    </x:row>
    <x:row r="144" spans="1:20">
      <x:c r="A144" s="8" t="s"/>
      <x:c r="B144" s="9" t="s">
        <x:v>318</x:v>
      </x:c>
      <x:c r="C144" s="9" t="s"/>
      <x:c r="G144" s="46" t="n">
        <x:v>9</x:v>
      </x:c>
      <x:c r="T144" s="10" t="n">
        <x:v>9</x:v>
      </x:c>
    </x:row>
    <x:row r="145" spans="1:20">
      <x:c r="A145" s="8" t="s"/>
      <x:c r="B145" s="9" t="s">
        <x:v>319</x:v>
      </x:c>
      <x:c r="C145" s="9" t="s"/>
      <x:c r="G145" s="46" t="n">
        <x:v>1</x:v>
      </x:c>
      <x:c r="T145" s="10" t="n">
        <x:v>1</x:v>
      </x:c>
    </x:row>
    <x:row r="146" spans="1:20">
      <x:c r="A146" s="8" t="s"/>
      <x:c r="B146" s="9" t="s">
        <x:v>320</x:v>
      </x:c>
      <x:c r="C146" s="9" t="s"/>
      <x:c r="K146" s="46" t="n">
        <x:v>1</x:v>
      </x:c>
      <x:c r="N146" s="46" t="n">
        <x:v>1</x:v>
      </x:c>
      <x:c r="T146" s="10" t="n">
        <x:v>2</x:v>
      </x:c>
    </x:row>
    <x:row r="147" spans="1:20">
      <x:c r="A147" s="8" t="s"/>
      <x:c r="B147" s="9" t="s">
        <x:v>321</x:v>
      </x:c>
      <x:c r="C147" s="9" t="s"/>
      <x:c r="H147" s="46" t="n">
        <x:v>1.25</x:v>
      </x:c>
      <x:c r="T147" s="10" t="n">
        <x:v>1.25</x:v>
      </x:c>
    </x:row>
    <x:row r="148" spans="1:20">
      <x:c r="A148" s="8" t="s"/>
      <x:c r="B148" s="9" t="s">
        <x:v>322</x:v>
      </x:c>
      <x:c r="C148" s="9" t="s"/>
      <x:c r="O148" s="46" t="n">
        <x:v>1</x:v>
      </x:c>
      <x:c r="T148" s="10" t="n">
        <x:v>1</x:v>
      </x:c>
    </x:row>
    <x:row r="149" spans="1:20">
      <x:c r="A149" s="8" t="s"/>
      <x:c r="B149" s="9" t="s">
        <x:v>323</x:v>
      </x:c>
      <x:c r="C149" s="9" t="n">
        <x:v>3</x:v>
      </x:c>
      <x:c r="T149" s="10" t="n">
        <x:v>3</x:v>
      </x:c>
    </x:row>
    <x:row r="150" spans="1:20">
      <x:c r="A150" s="8" t="s"/>
      <x:c r="B150" s="9" t="s">
        <x:v>324</x:v>
      </x:c>
      <x:c r="C150" s="9" t="s"/>
      <x:c r="P150" s="46" t="n">
        <x:v>8.5</x:v>
      </x:c>
      <x:c r="T150" s="10" t="n">
        <x:v>8.5</x:v>
      </x:c>
    </x:row>
    <x:row r="151" spans="1:20">
      <x:c r="A151" s="8" t="s"/>
      <x:c r="B151" s="47" t="s">
        <x:v>325</x:v>
      </x:c>
      <x:c r="C151" s="9" t="s"/>
      <x:c r="E151" s="46" t="n">
        <x:v>1</x:v>
      </x:c>
      <x:c r="F151" s="46" t="n">
        <x:v>4</x:v>
      </x:c>
      <x:c r="G151" s="46" t="n">
        <x:v>0.5</x:v>
      </x:c>
      <x:c r="H151" s="46" t="n">
        <x:v>3</x:v>
      </x:c>
      <x:c r="I151" s="46" t="n">
        <x:v>1</x:v>
      </x:c>
      <x:c r="M151" s="46" t="n">
        <x:v>1</x:v>
      </x:c>
      <x:c r="P151" s="46" t="n">
        <x:v>2</x:v>
      </x:c>
      <x:c r="Q151" s="46" t="n">
        <x:v>14.5</x:v>
      </x:c>
      <x:c r="S151" s="46" t="n">
        <x:v>9</x:v>
      </x:c>
      <x:c r="T151" s="10" t="n">
        <x:v>36</x:v>
      </x:c>
    </x:row>
    <x:row r="152" spans="1:20">
      <x:c r="A152" s="8" t="s"/>
      <x:c r="B152" s="9" t="s">
        <x:v>326</x:v>
      </x:c>
      <x:c r="C152" s="9" t="n">
        <x:v>3</x:v>
      </x:c>
      <x:c r="H152" s="46" t="n">
        <x:v>3</x:v>
      </x:c>
      <x:c r="Q152" s="46" t="n">
        <x:v>5.5</x:v>
      </x:c>
      <x:c r="T152" s="10" t="n">
        <x:v>11.5</x:v>
      </x:c>
    </x:row>
    <x:row r="153" spans="1:20">
      <x:c r="A153" s="8" t="s"/>
      <x:c r="B153" s="9" t="s">
        <x:v>327</x:v>
      </x:c>
      <x:c r="C153" s="9" t="n">
        <x:v>2</x:v>
      </x:c>
      <x:c r="H153" s="46" t="n">
        <x:v>1</x:v>
      </x:c>
      <x:c r="T153" s="10" t="n">
        <x:v>3</x:v>
      </x:c>
    </x:row>
    <x:row r="154" spans="1:20">
      <x:c r="A154" s="8" t="s"/>
      <x:c r="B154" s="9" t="s">
        <x:v>328</x:v>
      </x:c>
      <x:c r="C154" s="9" t="s"/>
      <x:c r="G154" s="46" t="n">
        <x:v>2</x:v>
      </x:c>
      <x:c r="T154" s="10" t="n">
        <x:v>2</x:v>
      </x:c>
    </x:row>
    <x:row r="155" spans="1:20">
      <x:c r="A155" s="8" t="s"/>
      <x:c r="B155" s="9" t="s">
        <x:v>329</x:v>
      </x:c>
      <x:c r="C155" s="9" t="s"/>
      <x:c r="S155" s="46" t="n">
        <x:v>1</x:v>
      </x:c>
      <x:c r="T155" s="10" t="n">
        <x:v>1</x:v>
      </x:c>
    </x:row>
    <x:row r="156" spans="1:20">
      <x:c r="A156" s="8" t="s"/>
      <x:c r="B156" s="9" t="s">
        <x:v>330</x:v>
      </x:c>
      <x:c r="C156" s="9" t="s"/>
      <x:c r="M156" s="46" t="n">
        <x:v>1</x:v>
      </x:c>
      <x:c r="T156" s="10" t="n">
        <x:v>1</x:v>
      </x:c>
    </x:row>
    <x:row r="157" spans="1:20">
      <x:c r="A157" s="8" t="s"/>
      <x:c r="B157" s="9" t="s">
        <x:v>331</x:v>
      </x:c>
      <x:c r="C157" s="9" t="s"/>
      <x:c r="E157" s="46" t="n">
        <x:v>3</x:v>
      </x:c>
      <x:c r="T157" s="10" t="n">
        <x:v>3</x:v>
      </x:c>
    </x:row>
    <x:row r="158" spans="1:20">
      <x:c r="A158" s="8" t="s"/>
      <x:c r="B158" s="9" t="s">
        <x:v>332</x:v>
      </x:c>
      <x:c r="C158" s="9" t="n">
        <x:v>1</x:v>
      </x:c>
      <x:c r="D158" s="46" t="n">
        <x:v>0.5</x:v>
      </x:c>
      <x:c r="F158" s="46" t="n">
        <x:v>1</x:v>
      </x:c>
      <x:c r="P158" s="46" t="n">
        <x:v>0.3</x:v>
      </x:c>
      <x:c r="T158" s="10" t="n">
        <x:v>2.8</x:v>
      </x:c>
    </x:row>
    <x:row r="159" spans="1:20">
      <x:c r="A159" s="8" t="s"/>
      <x:c r="B159" s="9" t="s">
        <x:v>333</x:v>
      </x:c>
      <x:c r="C159" s="9" t="n">
        <x:v>1</x:v>
      </x:c>
      <x:c r="G159" s="46" t="n">
        <x:v>1</x:v>
      </x:c>
      <x:c r="T159" s="10" t="n">
        <x:v>2</x:v>
      </x:c>
    </x:row>
    <x:row r="160" spans="1:20">
      <x:c r="A160" s="8" t="s"/>
      <x:c r="B160" s="9" t="s">
        <x:v>334</x:v>
      </x:c>
      <x:c r="C160" s="9" t="s"/>
      <x:c r="P160" s="46" t="n">
        <x:v>0.15</x:v>
      </x:c>
      <x:c r="S160" s="46" t="n">
        <x:v>1</x:v>
      </x:c>
      <x:c r="T160" s="10" t="n">
        <x:v>1.15</x:v>
      </x:c>
    </x:row>
    <x:row r="161" spans="1:20">
      <x:c r="A161" s="8" t="s"/>
      <x:c r="B161" s="47" t="s">
        <x:v>335</x:v>
      </x:c>
      <x:c r="C161" s="9" t="s"/>
      <x:c r="D161" s="46" t="n">
        <x:v>1</x:v>
      </x:c>
      <x:c r="O161" s="46" t="n">
        <x:v>1</x:v>
      </x:c>
      <x:c r="T161" s="10" t="n">
        <x:v>2</x:v>
      </x:c>
    </x:row>
    <x:row r="162" spans="1:20">
      <x:c r="A162" s="8" t="s"/>
      <x:c r="B162" s="9" t="s">
        <x:v>336</x:v>
      </x:c>
      <x:c r="C162" s="9" t="s"/>
      <x:c r="H162" s="46" t="n">
        <x:v>1</x:v>
      </x:c>
      <x:c r="Q162" s="46" t="n">
        <x:v>1</x:v>
      </x:c>
      <x:c r="T162" s="10" t="n">
        <x:v>2</x:v>
      </x:c>
    </x:row>
    <x:row r="163" spans="1:20">
      <x:c r="A163" s="8" t="s"/>
      <x:c r="B163" s="9" t="s">
        <x:v>337</x:v>
      </x:c>
      <x:c r="C163" s="9" t="s"/>
      <x:c r="H163" s="46" t="n">
        <x:v>1</x:v>
      </x:c>
      <x:c r="T163" s="10" t="n">
        <x:v>1</x:v>
      </x:c>
    </x:row>
    <x:row r="164" spans="1:20">
      <x:c r="A164" s="11" t="s">
        <x:v>18</x:v>
      </x:c>
      <x:c r="B164" s="12" t="s"/>
      <x:c r="C164" s="11" t="n">
        <x:v>118.25</x:v>
      </x:c>
      <x:c r="D164" s="13" t="n">
        <x:v>25.7</x:v>
      </x:c>
      <x:c r="E164" s="13" t="n">
        <x:v>22.55</x:v>
      </x:c>
      <x:c r="F164" s="13" t="n">
        <x:v>38.15</x:v>
      </x:c>
      <x:c r="G164" s="13" t="n">
        <x:v>190.1</x:v>
      </x:c>
      <x:c r="H164" s="13" t="n">
        <x:v>138.7</x:v>
      </x:c>
      <x:c r="I164" s="13" t="n">
        <x:v>10</x:v>
      </x:c>
      <x:c r="J164" s="13" t="n">
        <x:v>11</x:v>
      </x:c>
      <x:c r="K164" s="13" t="n">
        <x:v>20.5</x:v>
      </x:c>
      <x:c r="L164" s="13" t="n">
        <x:v>1.5</x:v>
      </x:c>
      <x:c r="M164" s="13" t="n">
        <x:v>15</x:v>
      </x:c>
      <x:c r="N164" s="13" t="n">
        <x:v>20.7</x:v>
      </x:c>
      <x:c r="O164" s="13" t="n">
        <x:v>22</x:v>
      </x:c>
      <x:c r="P164" s="13" t="n">
        <x:v>34.95</x:v>
      </x:c>
      <x:c r="Q164" s="13" t="n">
        <x:v>106.2</x:v>
      </x:c>
      <x:c r="R164" s="13" t="n">
        <x:v>0.5</x:v>
      </x:c>
      <x:c r="S164" s="13" t="n">
        <x:v>68.95</x:v>
      </x:c>
      <x:c r="T164" s="14" t="n">
        <x:v>844.75</x:v>
      </x:c>
    </x:row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70"/>
  <x:sheetViews>
    <x:sheetView topLeftCell="A34" workbookViewId="0">
      <x:selection activeCell="K37" sqref="K37 K37:K37"/>
    </x:sheetView>
  </x:sheetViews>
  <x:sheetFormatPr defaultColWidth="13.561875" defaultRowHeight="15"/>
  <x:cols>
    <x:col min="1" max="1" width="26.710938" style="46" customWidth="1"/>
    <x:col min="2" max="2" width="40.710938" style="46" customWidth="1"/>
  </x:cols>
  <x:sheetData>
    <x:row r="1" spans="1:18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10</x:v>
      </x:c>
      <x:c r="K1" s="6" t="s">
        <x:v>11</x:v>
      </x:c>
      <x:c r="L1" s="6" t="s">
        <x:v>12</x:v>
      </x:c>
      <x:c r="M1" s="6" t="s">
        <x:v>13</x:v>
      </x:c>
      <x:c r="N1" s="6" t="s">
        <x:v>14</x:v>
      </x:c>
      <x:c r="O1" s="6" t="s">
        <x:v>15</x:v>
      </x:c>
      <x:c r="P1" s="6" t="s">
        <x:v>16</x:v>
      </x:c>
      <x:c r="Q1" s="6" t="s">
        <x:v>17</x:v>
      </x:c>
      <x:c r="R1" s="7" t="s">
        <x:v>18</x:v>
      </x:c>
    </x:row>
    <x:row r="2" spans="1:18">
      <x:c r="A2" s="5" t="s">
        <x:v>338</x:v>
      </x:c>
      <x:c r="B2" s="5" t="s">
        <x:v>339</x:v>
      </x:c>
      <x:c r="C2" s="5" t="s"/>
      <x:c r="D2" s="6" t="s"/>
      <x:c r="E2" s="6" t="s"/>
      <x:c r="F2" s="6" t="s"/>
      <x:c r="G2" s="6" t="n">
        <x:v>1</x:v>
      </x:c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7" t="n">
        <x:v>1</x:v>
      </x:c>
    </x:row>
    <x:row r="3" spans="1:18">
      <x:c r="A3" s="8" t="s"/>
      <x:c r="B3" s="9" t="s">
        <x:v>340</x:v>
      </x:c>
      <x:c r="C3" s="9" t="s"/>
      <x:c r="M3" s="46" t="n">
        <x:v>1</x:v>
      </x:c>
      <x:c r="R3" s="10" t="n">
        <x:v>1</x:v>
      </x:c>
    </x:row>
    <x:row r="4" spans="1:18">
      <x:c r="A4" s="8" t="s"/>
      <x:c r="B4" s="9" t="s">
        <x:v>341</x:v>
      </x:c>
      <x:c r="C4" s="9" t="s"/>
      <x:c r="Q4" s="46" t="n">
        <x:v>2</x:v>
      </x:c>
      <x:c r="R4" s="10" t="n">
        <x:v>2</x:v>
      </x:c>
    </x:row>
    <x:row r="5" spans="1:18">
      <x:c r="A5" s="8" t="s"/>
      <x:c r="B5" s="5" t="s">
        <x:v>342</x:v>
      </x:c>
      <x:c r="C5" s="5" t="s"/>
      <x:c r="D5" s="6" t="s"/>
      <x:c r="E5" s="6" t="s"/>
      <x:c r="F5" s="6" t="s"/>
      <x:c r="G5" s="6" t="n">
        <x:v>2</x:v>
      </x:c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7" t="n">
        <x:v>2</x:v>
      </x:c>
    </x:row>
    <x:row r="6" spans="1:18">
      <x:c r="A6" s="8" t="s"/>
      <x:c r="B6" s="5" t="s">
        <x:v>343</x:v>
      </x:c>
      <x:c r="C6" s="5" t="n">
        <x:v>1.5</x:v>
      </x:c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n">
        <x:v>1</x:v>
      </x:c>
      <x:c r="R6" s="7" t="n">
        <x:v>2.5</x:v>
      </x:c>
    </x:row>
    <x:row r="7" spans="1:18">
      <x:c r="A7" s="8" t="s"/>
      <x:c r="B7" s="9" t="s">
        <x:v>344</x:v>
      </x:c>
      <x:c r="C7" s="9" t="s"/>
      <x:c r="G7" s="46" t="n">
        <x:v>47</x:v>
      </x:c>
      <x:c r="R7" s="10" t="n">
        <x:v>47</x:v>
      </x:c>
    </x:row>
    <x:row r="8" spans="1:18">
      <x:c r="A8" s="8" t="s"/>
      <x:c r="B8" s="9" t="s">
        <x:v>345</x:v>
      </x:c>
      <x:c r="C8" s="9" t="n">
        <x:v>1</x:v>
      </x:c>
      <x:c r="R8" s="10" t="n">
        <x:v>1</x:v>
      </x:c>
    </x:row>
    <x:row r="9" spans="1:18">
      <x:c r="A9" s="8" t="s"/>
      <x:c r="B9" s="47" t="s">
        <x:v>340</x:v>
      </x:c>
      <x:c r="C9" s="9" t="n">
        <x:v>75</x:v>
      </x:c>
      <x:c r="D9" s="46" t="n">
        <x:v>10</x:v>
      </x:c>
      <x:c r="F9" s="46" t="n">
        <x:v>13</x:v>
      </x:c>
      <x:c r="H9" s="46" t="n">
        <x:v>117</x:v>
      </x:c>
      <x:c r="I9" s="46" t="n">
        <x:v>14</x:v>
      </x:c>
      <x:c r="M9" s="46" t="n">
        <x:v>11</x:v>
      </x:c>
      <x:c r="R9" s="10" t="n">
        <x:v>240</x:v>
      </x:c>
    </x:row>
    <x:row r="10" spans="1:18">
      <x:c r="A10" s="8" t="s"/>
      <x:c r="B10" s="9" t="s">
        <x:v>346</x:v>
      </x:c>
      <x:c r="C10" s="9" t="s"/>
      <x:c r="E10" s="46" t="n">
        <x:v>0.25</x:v>
      </x:c>
      <x:c r="M10" s="46" t="n">
        <x:v>1</x:v>
      </x:c>
      <x:c r="R10" s="10" t="n">
        <x:v>1.25</x:v>
      </x:c>
    </x:row>
    <x:row r="11" spans="1:18">
      <x:c r="A11" s="8" t="s"/>
      <x:c r="B11" s="9" t="s">
        <x:v>347</x:v>
      </x:c>
      <x:c r="C11" s="9" t="n">
        <x:v>16</x:v>
      </x:c>
      <x:c r="R11" s="10" t="n">
        <x:v>16</x:v>
      </x:c>
    </x:row>
    <x:row r="12" spans="1:18">
      <x:c r="A12" s="8" t="s"/>
      <x:c r="B12" s="9" t="s">
        <x:v>348</x:v>
      </x:c>
      <x:c r="C12" s="9" t="s"/>
      <x:c r="H12" s="46" t="n">
        <x:v>3</x:v>
      </x:c>
      <x:c r="L12" s="46" t="n">
        <x:v>1</x:v>
      </x:c>
      <x:c r="Q12" s="46" t="n">
        <x:v>1</x:v>
      </x:c>
      <x:c r="R12" s="10" t="n">
        <x:v>5</x:v>
      </x:c>
    </x:row>
    <x:row r="13" spans="1:18">
      <x:c r="A13" s="8" t="s"/>
      <x:c r="B13" s="9" t="s">
        <x:v>349</x:v>
      </x:c>
      <x:c r="C13" s="9" t="n">
        <x:v>2</x:v>
      </x:c>
      <x:c r="L13" s="46" t="n">
        <x:v>1</x:v>
      </x:c>
      <x:c r="R13" s="10" t="n">
        <x:v>3</x:v>
      </x:c>
    </x:row>
    <x:row r="14" spans="1:18">
      <x:c r="A14" s="8" t="s"/>
      <x:c r="B14" s="49" t="s">
        <x:v>350</x:v>
      </x:c>
      <x:c r="C14" s="5" t="n">
        <x:v>55</x:v>
      </x:c>
      <x:c r="D14" s="6" t="s"/>
      <x:c r="E14" s="6" t="s"/>
      <x:c r="F14" s="6" t="n">
        <x:v>3</x:v>
      </x:c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n">
        <x:v>9</x:v>
      </x:c>
      <x:c r="R14" s="7" t="n">
        <x:v>67</x:v>
      </x:c>
    </x:row>
    <x:row r="15" spans="1:18">
      <x:c r="A15" s="8" t="s"/>
      <x:c r="B15" s="9" t="s">
        <x:v>351</x:v>
      </x:c>
      <x:c r="C15" s="9" t="n">
        <x:v>79</x:v>
      </x:c>
      <x:c r="Q15" s="46" t="n">
        <x:v>15</x:v>
      </x:c>
      <x:c r="R15" s="10" t="n">
        <x:v>94</x:v>
      </x:c>
    </x:row>
    <x:row r="16" spans="1:18">
      <x:c r="A16" s="8" t="s"/>
      <x:c r="B16" s="9" t="s">
        <x:v>352</x:v>
      </x:c>
      <x:c r="C16" s="9" t="n">
        <x:v>4.2</x:v>
      </x:c>
      <x:c r="G16" s="46" t="n">
        <x:v>2</x:v>
      </x:c>
      <x:c r="P16" s="46" t="n">
        <x:v>1.25</x:v>
      </x:c>
      <x:c r="R16" s="10" t="n">
        <x:v>7.45</x:v>
      </x:c>
    </x:row>
    <x:row r="17" spans="1:18">
      <x:c r="A17" s="8" t="s"/>
      <x:c r="B17" s="9" t="s">
        <x:v>353</x:v>
      </x:c>
      <x:c r="C17" s="9" t="n">
        <x:v>1</x:v>
      </x:c>
      <x:c r="R17" s="10" t="n">
        <x:v>1</x:v>
      </x:c>
    </x:row>
    <x:row r="18" spans="1:18">
      <x:c r="A18" s="8" t="s"/>
      <x:c r="B18" s="9" t="s">
        <x:v>354</x:v>
      </x:c>
      <x:c r="C18" s="9" t="s"/>
      <x:c r="O18" s="46" t="n">
        <x:v>1</x:v>
      </x:c>
      <x:c r="R18" s="10" t="n">
        <x:v>1</x:v>
      </x:c>
    </x:row>
    <x:row r="19" spans="1:18">
      <x:c r="A19" s="8" t="s"/>
      <x:c r="B19" s="47" t="s">
        <x:v>355</x:v>
      </x:c>
      <x:c r="C19" s="9" t="s"/>
      <x:c r="D19" s="46" t="n">
        <x:v>5.5</x:v>
      </x:c>
      <x:c r="H19" s="46" t="n">
        <x:v>2</x:v>
      </x:c>
      <x:c r="L19" s="46" t="n">
        <x:v>2</x:v>
      </x:c>
      <x:c r="R19" s="10" t="n">
        <x:v>9.5</x:v>
      </x:c>
    </x:row>
    <x:row r="20" spans="1:18">
      <x:c r="A20" s="8" t="s"/>
      <x:c r="B20" s="9" t="s">
        <x:v>356</x:v>
      </x:c>
      <x:c r="C20" s="9" t="n">
        <x:v>5</x:v>
      </x:c>
      <x:c r="E20" s="46" t="n">
        <x:v>0.4</x:v>
      </x:c>
      <x:c r="M20" s="46" t="n">
        <x:v>0.4</x:v>
      </x:c>
      <x:c r="N20" s="46" t="n">
        <x:v>4</x:v>
      </x:c>
      <x:c r="R20" s="10" t="n">
        <x:v>9.8</x:v>
      </x:c>
    </x:row>
    <x:row r="21" spans="1:18">
      <x:c r="A21" s="8" t="s"/>
      <x:c r="B21" s="9" t="s">
        <x:v>357</x:v>
      </x:c>
      <x:c r="C21" s="9" t="n">
        <x:v>2</x:v>
      </x:c>
      <x:c r="R21" s="10" t="n">
        <x:v>2</x:v>
      </x:c>
    </x:row>
    <x:row r="22" spans="1:18">
      <x:c r="A22" s="8" t="s"/>
      <x:c r="B22" s="9" t="s">
        <x:v>358</x:v>
      </x:c>
      <x:c r="C22" s="9" t="n">
        <x:v>1</x:v>
      </x:c>
      <x:c r="R22" s="10" t="n">
        <x:v>1</x:v>
      </x:c>
    </x:row>
    <x:row r="23" spans="1:18">
      <x:c r="A23" s="8" t="s"/>
      <x:c r="B23" s="9" t="s">
        <x:v>359</x:v>
      </x:c>
      <x:c r="C23" s="9" t="s"/>
      <x:c r="N23" s="46" t="n">
        <x:v>2</x:v>
      </x:c>
      <x:c r="R23" s="10" t="n">
        <x:v>2</x:v>
      </x:c>
    </x:row>
    <x:row r="24" spans="1:18">
      <x:c r="A24" s="8" t="s"/>
      <x:c r="B24" s="9" t="s">
        <x:v>253</x:v>
      </x:c>
      <x:c r="C24" s="9" t="s"/>
      <x:c r="H24" s="46" t="n">
        <x:v>1</x:v>
      </x:c>
      <x:c r="R24" s="10" t="n">
        <x:v>1</x:v>
      </x:c>
    </x:row>
    <x:row r="25" spans="1:18">
      <x:c r="A25" s="8" t="s"/>
      <x:c r="B25" s="9" t="s">
        <x:v>360</x:v>
      </x:c>
      <x:c r="C25" s="9" t="s"/>
      <x:c r="P25" s="46" t="n">
        <x:v>1</x:v>
      </x:c>
      <x:c r="R25" s="10" t="n">
        <x:v>1</x:v>
      </x:c>
    </x:row>
    <x:row r="26" spans="1:18">
      <x:c r="A26" s="8" t="s"/>
      <x:c r="B26" s="9" t="s">
        <x:v>361</x:v>
      </x:c>
      <x:c r="C26" s="9" t="s"/>
      <x:c r="M26" s="46" t="n">
        <x:v>0.5</x:v>
      </x:c>
      <x:c r="R26" s="10" t="n">
        <x:v>0.5</x:v>
      </x:c>
    </x:row>
    <x:row r="27" spans="1:18">
      <x:c r="A27" s="8" t="s"/>
      <x:c r="B27" s="9" t="s">
        <x:v>362</x:v>
      </x:c>
      <x:c r="C27" s="9" t="s"/>
      <x:c r="N27" s="46" t="n">
        <x:v>2</x:v>
      </x:c>
      <x:c r="R27" s="10" t="n">
        <x:v>2</x:v>
      </x:c>
    </x:row>
    <x:row r="28" spans="1:18">
      <x:c r="A28" s="8" t="s"/>
      <x:c r="B28" s="9" t="s">
        <x:v>363</x:v>
      </x:c>
      <x:c r="C28" s="9" t="s"/>
      <x:c r="H28" s="46" t="n">
        <x:v>5</x:v>
      </x:c>
      <x:c r="M28" s="46" t="n">
        <x:v>0.3</x:v>
      </x:c>
      <x:c r="Q28" s="46" t="n">
        <x:v>4</x:v>
      </x:c>
      <x:c r="R28" s="10" t="n">
        <x:v>9.3</x:v>
      </x:c>
    </x:row>
    <x:row r="29" spans="1:18">
      <x:c r="A29" s="8" t="s"/>
      <x:c r="B29" s="9" t="s">
        <x:v>364</x:v>
      </x:c>
      <x:c r="C29" s="9" t="s"/>
      <x:c r="H29" s="46" t="n">
        <x:v>13</x:v>
      </x:c>
      <x:c r="R29" s="10" t="n">
        <x:v>13</x:v>
      </x:c>
    </x:row>
    <x:row r="30" spans="1:18">
      <x:c r="A30" s="8" t="s"/>
      <x:c r="B30" s="9" t="s">
        <x:v>365</x:v>
      </x:c>
      <x:c r="C30" s="9" t="s"/>
      <x:c r="G30" s="46" t="n">
        <x:v>1</x:v>
      </x:c>
      <x:c r="R30" s="10" t="n">
        <x:v>1</x:v>
      </x:c>
    </x:row>
    <x:row r="31" spans="1:18">
      <x:c r="A31" s="8" t="s"/>
      <x:c r="B31" s="9" t="s">
        <x:v>366</x:v>
      </x:c>
      <x:c r="C31" s="9" t="s"/>
      <x:c r="N31" s="46" t="n">
        <x:v>3</x:v>
      </x:c>
      <x:c r="R31" s="10" t="n">
        <x:v>3</x:v>
      </x:c>
    </x:row>
    <x:row r="32" spans="1:18">
      <x:c r="A32" s="8" t="s"/>
      <x:c r="B32" s="9" t="s">
        <x:v>367</x:v>
      </x:c>
      <x:c r="C32" s="9" t="s"/>
      <x:c r="N32" s="46" t="n">
        <x:v>11</x:v>
      </x:c>
      <x:c r="R32" s="10" t="n">
        <x:v>11</x:v>
      </x:c>
    </x:row>
    <x:row r="33" spans="1:18">
      <x:c r="A33" s="8" t="s"/>
      <x:c r="B33" s="47" t="s">
        <x:v>368</x:v>
      </x:c>
      <x:c r="C33" s="9" t="s"/>
      <x:c r="O33" s="46" t="n">
        <x:v>1</x:v>
      </x:c>
      <x:c r="R33" s="10" t="n">
        <x:v>1</x:v>
      </x:c>
    </x:row>
    <x:row r="34" spans="1:18">
      <x:c r="A34" s="8" t="s"/>
      <x:c r="B34" s="9" t="s">
        <x:v>369</x:v>
      </x:c>
      <x:c r="C34" s="9" t="s"/>
      <x:c r="G34" s="46" t="n">
        <x:v>1</x:v>
      </x:c>
      <x:c r="R34" s="10" t="n">
        <x:v>1</x:v>
      </x:c>
    </x:row>
    <x:row r="35" spans="1:18">
      <x:c r="A35" s="8" t="s"/>
      <x:c r="B35" s="9" t="s">
        <x:v>370</x:v>
      </x:c>
      <x:c r="C35" s="9" t="s"/>
      <x:c r="Q35" s="46" t="n">
        <x:v>2</x:v>
      </x:c>
      <x:c r="R35" s="10" t="n">
        <x:v>2</x:v>
      </x:c>
    </x:row>
    <x:row r="36" spans="1:18">
      <x:c r="A36" s="8" t="s"/>
      <x:c r="B36" s="9" t="s">
        <x:v>346</x:v>
      </x:c>
      <x:c r="C36" s="9" t="n">
        <x:v>1</x:v>
      </x:c>
      <x:c r="J36" s="46" t="n">
        <x:v>1</x:v>
      </x:c>
      <x:c r="R36" s="10" t="n">
        <x:v>2</x:v>
      </x:c>
    </x:row>
    <x:row r="37" spans="1:18">
      <x:c r="A37" s="8" t="s"/>
      <x:c r="B37" s="9" t="s">
        <x:v>371</x:v>
      </x:c>
      <x:c r="C37" s="9" t="s"/>
      <x:c r="D37" s="46" t="n">
        <x:v>1</x:v>
      </x:c>
      <x:c r="H37" s="46" t="n">
        <x:v>1</x:v>
      </x:c>
      <x:c r="P37" s="46" t="n">
        <x:v>1</x:v>
      </x:c>
      <x:c r="R37" s="10" t="n">
        <x:v>3</x:v>
      </x:c>
    </x:row>
    <x:row r="38" spans="1:18">
      <x:c r="A38" s="8" t="s"/>
      <x:c r="B38" s="9" t="s">
        <x:v>269</x:v>
      </x:c>
      <x:c r="C38" s="9" t="n">
        <x:v>28.75</x:v>
      </x:c>
      <x:c r="D38" s="46" t="n">
        <x:v>1</x:v>
      </x:c>
      <x:c r="F38" s="46" t="n">
        <x:v>10.7</x:v>
      </x:c>
      <x:c r="H38" s="46" t="n">
        <x:v>12</x:v>
      </x:c>
      <x:c r="K38" s="46" t="n">
        <x:v>2</x:v>
      </x:c>
      <x:c r="N38" s="46" t="n">
        <x:v>1</x:v>
      </x:c>
      <x:c r="P38" s="46" t="n">
        <x:v>3</x:v>
      </x:c>
      <x:c r="R38" s="10" t="n">
        <x:v>58.45</x:v>
      </x:c>
    </x:row>
    <x:row r="39" spans="1:18">
      <x:c r="A39" s="8" t="s"/>
      <x:c r="B39" s="9" t="s">
        <x:v>271</x:v>
      </x:c>
      <x:c r="C39" s="9" t="n">
        <x:v>4</x:v>
      </x:c>
      <x:c r="R39" s="10" t="n">
        <x:v>4</x:v>
      </x:c>
    </x:row>
    <x:row r="40" spans="1:18">
      <x:c r="A40" s="8" t="s"/>
      <x:c r="B40" s="9" t="s">
        <x:v>372</x:v>
      </x:c>
      <x:c r="C40" s="9" t="s"/>
      <x:c r="N40" s="46" t="n">
        <x:v>1</x:v>
      </x:c>
      <x:c r="R40" s="10" t="n">
        <x:v>1</x:v>
      </x:c>
    </x:row>
    <x:row r="41" spans="1:18">
      <x:c r="A41" s="8" t="s"/>
      <x:c r="B41" s="9" t="s">
        <x:v>373</x:v>
      </x:c>
      <x:c r="C41" s="9" t="s"/>
      <x:c r="D41" s="46" t="n">
        <x:v>1</x:v>
      </x:c>
      <x:c r="R41" s="10" t="n">
        <x:v>1</x:v>
      </x:c>
    </x:row>
    <x:row r="42" spans="1:18">
      <x:c r="A42" s="8" t="s"/>
      <x:c r="B42" s="9" t="s">
        <x:v>276</x:v>
      </x:c>
      <x:c r="C42" s="9" t="n">
        <x:v>2</x:v>
      </x:c>
      <x:c r="R42" s="10" t="n">
        <x:v>2</x:v>
      </x:c>
    </x:row>
    <x:row r="43" spans="1:18">
      <x:c r="A43" s="8" t="s"/>
      <x:c r="B43" s="9" t="s">
        <x:v>374</x:v>
      </x:c>
      <x:c r="C43" s="9" t="s"/>
      <x:c r="D43" s="46" t="n">
        <x:v>1</x:v>
      </x:c>
      <x:c r="R43" s="10" t="n">
        <x:v>1</x:v>
      </x:c>
    </x:row>
    <x:row r="44" spans="1:18">
      <x:c r="A44" s="8" t="s"/>
      <x:c r="B44" s="9" t="s">
        <x:v>279</x:v>
      </x:c>
      <x:c r="C44" s="9" t="n">
        <x:v>0.25</x:v>
      </x:c>
      <x:c r="R44" s="10" t="n">
        <x:v>0.25</x:v>
      </x:c>
    </x:row>
    <x:row r="45" spans="1:18">
      <x:c r="A45" s="8" t="s"/>
      <x:c r="B45" s="9" t="s">
        <x:v>375</x:v>
      </x:c>
      <x:c r="C45" s="9" t="n">
        <x:v>15.5</x:v>
      </x:c>
      <x:c r="F45" s="46" t="n">
        <x:v>7</x:v>
      </x:c>
      <x:c r="Q45" s="46" t="n">
        <x:v>2</x:v>
      </x:c>
      <x:c r="R45" s="10" t="n">
        <x:v>24.5</x:v>
      </x:c>
    </x:row>
    <x:row r="46" spans="1:18">
      <x:c r="A46" s="8" t="s"/>
      <x:c r="B46" s="9" t="s">
        <x:v>283</x:v>
      </x:c>
      <x:c r="C46" s="9" t="s"/>
      <x:c r="Q46" s="46" t="n">
        <x:v>1</x:v>
      </x:c>
      <x:c r="R46" s="10" t="n">
        <x:v>1</x:v>
      </x:c>
    </x:row>
    <x:row r="47" spans="1:18">
      <x:c r="A47" s="8" t="s"/>
      <x:c r="B47" s="9" t="s">
        <x:v>284</x:v>
      </x:c>
      <x:c r="C47" s="9" t="s"/>
      <x:c r="I47" s="46" t="n">
        <x:v>0.5</x:v>
      </x:c>
      <x:c r="N47" s="46" t="n">
        <x:v>2</x:v>
      </x:c>
      <x:c r="R47" s="10" t="n">
        <x:v>2.5</x:v>
      </x:c>
    </x:row>
    <x:row r="48" spans="1:18">
      <x:c r="A48" s="8" t="s"/>
      <x:c r="B48" s="9" t="s">
        <x:v>376</x:v>
      </x:c>
      <x:c r="C48" s="9" t="s"/>
      <x:c r="O48" s="46" t="n">
        <x:v>1</x:v>
      </x:c>
      <x:c r="R48" s="10" t="n">
        <x:v>1</x:v>
      </x:c>
    </x:row>
    <x:row r="49" spans="1:18">
      <x:c r="A49" s="8" t="s"/>
      <x:c r="B49" s="9" t="s">
        <x:v>298</x:v>
      </x:c>
      <x:c r="C49" s="9" t="s"/>
      <x:c r="H49" s="46" t="n">
        <x:v>3</x:v>
      </x:c>
      <x:c r="K49" s="46" t="n">
        <x:v>1</x:v>
      </x:c>
      <x:c r="L49" s="46" t="n">
        <x:v>1</x:v>
      </x:c>
      <x:c r="R49" s="10" t="n">
        <x:v>5</x:v>
      </x:c>
    </x:row>
    <x:row r="50" spans="1:18">
      <x:c r="A50" s="8" t="s"/>
      <x:c r="B50" s="9" t="s">
        <x:v>377</x:v>
      </x:c>
      <x:c r="C50" s="9" t="s"/>
      <x:c r="Q50" s="46" t="n">
        <x:v>1</x:v>
      </x:c>
      <x:c r="R50" s="10" t="n">
        <x:v>1</x:v>
      </x:c>
    </x:row>
    <x:row r="51" spans="1:18">
      <x:c r="A51" s="8" t="s"/>
      <x:c r="B51" s="9" t="s">
        <x:v>378</x:v>
      </x:c>
      <x:c r="C51" s="9" t="s"/>
      <x:c r="H51" s="46" t="n">
        <x:v>1</x:v>
      </x:c>
      <x:c r="R51" s="10" t="n">
        <x:v>1</x:v>
      </x:c>
    </x:row>
    <x:row r="52" spans="1:18">
      <x:c r="A52" s="8" t="s"/>
      <x:c r="B52" s="9" t="s">
        <x:v>379</x:v>
      </x:c>
      <x:c r="C52" s="9" t="s"/>
      <x:c r="Q52" s="46" t="n">
        <x:v>12.7</x:v>
      </x:c>
      <x:c r="R52" s="10" t="n">
        <x:v>12.7</x:v>
      </x:c>
    </x:row>
    <x:row r="53" spans="1:18">
      <x:c r="A53" s="8" t="s"/>
      <x:c r="B53" s="9" t="s">
        <x:v>380</x:v>
      </x:c>
      <x:c r="C53" s="9" t="s"/>
      <x:c r="F53" s="46" t="n">
        <x:v>0.5</x:v>
      </x:c>
      <x:c r="R53" s="10" t="n">
        <x:v>0.5</x:v>
      </x:c>
    </x:row>
    <x:row r="54" spans="1:18">
      <x:c r="A54" s="8" t="s"/>
      <x:c r="B54" s="9" t="s">
        <x:v>381</x:v>
      </x:c>
      <x:c r="C54" s="9" t="s"/>
      <x:c r="N54" s="46" t="n">
        <x:v>1</x:v>
      </x:c>
      <x:c r="R54" s="10" t="n">
        <x:v>1</x:v>
      </x:c>
    </x:row>
    <x:row r="55" spans="1:18">
      <x:c r="A55" s="8" t="s"/>
      <x:c r="B55" s="9" t="s">
        <x:v>382</x:v>
      </x:c>
      <x:c r="C55" s="9" t="n">
        <x:v>1</x:v>
      </x:c>
      <x:c r="R55" s="10" t="n">
        <x:v>1</x:v>
      </x:c>
    </x:row>
    <x:row r="56" spans="1:18">
      <x:c r="A56" s="8" t="s"/>
      <x:c r="B56" s="9" t="s">
        <x:v>383</x:v>
      </x:c>
      <x:c r="C56" s="9" t="s"/>
      <x:c r="O56" s="46" t="n">
        <x:v>3</x:v>
      </x:c>
      <x:c r="R56" s="10" t="n">
        <x:v>3</x:v>
      </x:c>
    </x:row>
    <x:row r="57" spans="1:18">
      <x:c r="A57" s="8" t="s"/>
      <x:c r="B57" s="9" t="s">
        <x:v>384</x:v>
      </x:c>
      <x:c r="C57" s="9" t="s"/>
      <x:c r="N57" s="46" t="n">
        <x:v>1</x:v>
      </x:c>
      <x:c r="R57" s="10" t="n">
        <x:v>1</x:v>
      </x:c>
    </x:row>
    <x:row r="58" spans="1:18">
      <x:c r="A58" s="8" t="s"/>
      <x:c r="B58" s="9" t="s">
        <x:v>385</x:v>
      </x:c>
      <x:c r="C58" s="9" t="s"/>
      <x:c r="N58" s="46" t="n">
        <x:v>2</x:v>
      </x:c>
      <x:c r="R58" s="10" t="n">
        <x:v>2</x:v>
      </x:c>
    </x:row>
    <x:row r="59" spans="1:18">
      <x:c r="A59" s="8" t="s"/>
      <x:c r="B59" s="9" t="s">
        <x:v>348</x:v>
      </x:c>
      <x:c r="C59" s="9" t="s"/>
      <x:c r="K59" s="46" t="n">
        <x:v>1.5</x:v>
      </x:c>
      <x:c r="R59" s="10" t="n">
        <x:v>1.5</x:v>
      </x:c>
    </x:row>
    <x:row r="60" spans="1:18">
      <x:c r="A60" s="8" t="s"/>
      <x:c r="B60" s="47" t="s">
        <x:v>386</x:v>
      </x:c>
      <x:c r="C60" s="9" t="n">
        <x:v>1</x:v>
      </x:c>
      <x:c r="R60" s="10" t="n">
        <x:v>1</x:v>
      </x:c>
    </x:row>
    <x:row r="61" spans="1:18">
      <x:c r="A61" s="8" t="s"/>
      <x:c r="B61" s="9" t="s">
        <x:v>387</x:v>
      </x:c>
      <x:c r="C61" s="9" t="s"/>
      <x:c r="O61" s="46" t="n">
        <x:v>1</x:v>
      </x:c>
      <x:c r="R61" s="10" t="n">
        <x:v>1</x:v>
      </x:c>
    </x:row>
    <x:row r="62" spans="1:18">
      <x:c r="A62" s="8" t="s"/>
      <x:c r="B62" s="9" t="s">
        <x:v>388</x:v>
      </x:c>
      <x:c r="C62" s="9" t="s"/>
      <x:c r="L62" s="46" t="n">
        <x:v>1</x:v>
      </x:c>
      <x:c r="R62" s="10" t="n">
        <x:v>1</x:v>
      </x:c>
    </x:row>
    <x:row r="63" spans="1:18">
      <x:c r="A63" s="8" t="s"/>
      <x:c r="B63" s="9" t="s">
        <x:v>389</x:v>
      </x:c>
      <x:c r="C63" s="9" t="s"/>
      <x:c r="K63" s="46" t="n">
        <x:v>18</x:v>
      </x:c>
      <x:c r="R63" s="10" t="n">
        <x:v>18</x:v>
      </x:c>
    </x:row>
    <x:row r="64" spans="1:18">
      <x:c r="A64" s="8" t="s"/>
      <x:c r="B64" s="9" t="s">
        <x:v>390</x:v>
      </x:c>
      <x:c r="C64" s="9" t="s"/>
      <x:c r="K64" s="46" t="n">
        <x:v>2</x:v>
      </x:c>
      <x:c r="R64" s="10" t="n">
        <x:v>2</x:v>
      </x:c>
    </x:row>
    <x:row r="65" spans="1:18">
      <x:c r="A65" s="8" t="s"/>
      <x:c r="B65" s="9" t="s">
        <x:v>315</x:v>
      </x:c>
      <x:c r="C65" s="9" t="s"/>
      <x:c r="F65" s="46" t="n">
        <x:v>6</x:v>
      </x:c>
      <x:c r="G65" s="46" t="n">
        <x:v>11</x:v>
      </x:c>
      <x:c r="H65" s="46" t="n">
        <x:v>16</x:v>
      </x:c>
      <x:c r="I65" s="46" t="n">
        <x:v>1</x:v>
      </x:c>
      <x:c r="O65" s="46" t="n">
        <x:v>1</x:v>
      </x:c>
      <x:c r="R65" s="10" t="n">
        <x:v>35</x:v>
      </x:c>
    </x:row>
    <x:row r="66" spans="1:18">
      <x:c r="A66" s="8" t="s"/>
      <x:c r="B66" s="9" t="s">
        <x:v>391</x:v>
      </x:c>
      <x:c r="C66" s="9" t="s"/>
      <x:c r="G66" s="46" t="n">
        <x:v>1</x:v>
      </x:c>
      <x:c r="R66" s="10" t="n">
        <x:v>1</x:v>
      </x:c>
    </x:row>
    <x:row r="67" spans="1:18">
      <x:c r="A67" s="8" t="s"/>
      <x:c r="B67" s="9" t="s">
        <x:v>392</x:v>
      </x:c>
      <x:c r="C67" s="9" t="s"/>
      <x:c r="G67" s="46" t="n">
        <x:v>3</x:v>
      </x:c>
      <x:c r="R67" s="10" t="n">
        <x:v>3</x:v>
      </x:c>
    </x:row>
    <x:row r="68" spans="1:18">
      <x:c r="A68" s="8" t="s"/>
      <x:c r="B68" s="9" t="s">
        <x:v>393</x:v>
      </x:c>
      <x:c r="C68" s="9" t="s"/>
      <x:c r="N68" s="46" t="n">
        <x:v>2</x:v>
      </x:c>
      <x:c r="R68" s="10" t="n">
        <x:v>2</x:v>
      </x:c>
    </x:row>
    <x:row r="69" spans="1:18">
      <x:c r="A69" s="8" t="s"/>
      <x:c r="B69" s="9" t="s">
        <x:v>394</x:v>
      </x:c>
      <x:c r="C69" s="9" t="n">
        <x:v>1</x:v>
      </x:c>
      <x:c r="R69" s="10" t="n">
        <x:v>1</x:v>
      </x:c>
    </x:row>
    <x:row r="70" spans="1:18">
      <x:c r="A70" s="11" t="s">
        <x:v>18</x:v>
      </x:c>
      <x:c r="B70" s="12" t="s"/>
      <x:c r="C70" s="11" t="n">
        <x:v>297.2</x:v>
      </x:c>
      <x:c r="D70" s="13" t="n">
        <x:v>19.5</x:v>
      </x:c>
      <x:c r="E70" s="13" t="n">
        <x:v>0.65</x:v>
      </x:c>
      <x:c r="F70" s="13" t="n">
        <x:v>40.2</x:v>
      </x:c>
      <x:c r="G70" s="13" t="n">
        <x:v>69</x:v>
      </x:c>
      <x:c r="H70" s="13" t="n">
        <x:v>174</x:v>
      </x:c>
      <x:c r="I70" s="13" t="n">
        <x:v>15.5</x:v>
      </x:c>
      <x:c r="J70" s="13" t="n">
        <x:v>1</x:v>
      </x:c>
      <x:c r="K70" s="13" t="n">
        <x:v>24.5</x:v>
      </x:c>
      <x:c r="L70" s="13" t="n">
        <x:v>6</x:v>
      </x:c>
      <x:c r="M70" s="13" t="n">
        <x:v>14.2</x:v>
      </x:c>
      <x:c r="N70" s="13" t="n">
        <x:v>32</x:v>
      </x:c>
      <x:c r="O70" s="13" t="n">
        <x:v>8</x:v>
      </x:c>
      <x:c r="P70" s="13" t="n">
        <x:v>6.25</x:v>
      </x:c>
      <x:c r="Q70" s="13" t="n">
        <x:v>50.7</x:v>
      </x:c>
      <x:c r="R70" s="14" t="n">
        <x:v>758.7</x:v>
      </x:c>
    </x:row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35"/>
  <x:sheetViews>
    <x:sheetView topLeftCell="A64" workbookViewId="0">
      <x:selection activeCell="K37" sqref="K37 K37:K37"/>
    </x:sheetView>
  </x:sheetViews>
  <x:sheetFormatPr defaultColWidth="13.561875" defaultRowHeight="15"/>
  <x:cols>
    <x:col min="1" max="1" width="34.285156" style="46" customWidth="1"/>
    <x:col min="2" max="2" width="59" style="46" customWidth="1"/>
  </x:cols>
  <x:sheetData>
    <x:row r="1" spans="1:18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15</x:v>
      </x:c>
      <x:c r="P1" s="6" t="s">
        <x:v>16</x:v>
      </x:c>
      <x:c r="Q1" s="6" t="s">
        <x:v>17</x:v>
      </x:c>
      <x:c r="R1" s="7" t="s">
        <x:v>18</x:v>
      </x:c>
    </x:row>
    <x:row r="2" spans="1:18">
      <x:c r="A2" s="5" t="s">
        <x:v>395</x:v>
      </x:c>
      <x:c r="B2" s="5" t="s">
        <x:v>396</x:v>
      </x:c>
      <x:c r="C2" s="5" t="s"/>
      <x:c r="D2" s="6" t="s"/>
      <x:c r="E2" s="6" t="s"/>
      <x:c r="F2" s="6" t="s"/>
      <x:c r="G2" s="6" t="s"/>
      <x:c r="H2" s="6" t="n">
        <x:v>1</x:v>
      </x:c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7" t="n">
        <x:v>1</x:v>
      </x:c>
    </x:row>
    <x:row r="3" spans="1:18">
      <x:c r="A3" s="8" t="s"/>
      <x:c r="B3" s="9" t="s">
        <x:v>397</x:v>
      </x:c>
      <x:c r="C3" s="9" t="s"/>
      <x:c r="E3" s="46" t="n">
        <x:v>1</x:v>
      </x:c>
      <x:c r="R3" s="10" t="n">
        <x:v>1</x:v>
      </x:c>
    </x:row>
    <x:row r="4" spans="1:18">
      <x:c r="A4" s="8" t="s"/>
      <x:c r="B4" s="9" t="s">
        <x:v>398</x:v>
      </x:c>
      <x:c r="C4" s="9" t="s"/>
      <x:c r="N4" s="46" t="n">
        <x:v>1</x:v>
      </x:c>
      <x:c r="R4" s="10" t="n">
        <x:v>1</x:v>
      </x:c>
    </x:row>
    <x:row r="5" spans="1:18">
      <x:c r="A5" s="8" t="s"/>
      <x:c r="B5" s="9" t="s">
        <x:v>399</x:v>
      </x:c>
      <x:c r="C5" s="9" t="s"/>
      <x:c r="E5" s="46" t="n">
        <x:v>1</x:v>
      </x:c>
      <x:c r="R5" s="10" t="n">
        <x:v>1</x:v>
      </x:c>
    </x:row>
    <x:row r="6" spans="1:18">
      <x:c r="A6" s="8" t="s"/>
      <x:c r="B6" s="9" t="s">
        <x:v>400</x:v>
      </x:c>
      <x:c r="C6" s="9" t="s"/>
      <x:c r="N6" s="46" t="n">
        <x:v>1</x:v>
      </x:c>
      <x:c r="R6" s="10" t="n">
        <x:v>1</x:v>
      </x:c>
    </x:row>
    <x:row r="7" spans="1:18">
      <x:c r="A7" s="8" t="s"/>
      <x:c r="B7" s="9" t="s">
        <x:v>401</x:v>
      </x:c>
      <x:c r="C7" s="9" t="s"/>
      <x:c r="N7" s="46" t="n">
        <x:v>3</x:v>
      </x:c>
      <x:c r="R7" s="10" t="n">
        <x:v>3</x:v>
      </x:c>
    </x:row>
    <x:row r="8" spans="1:18">
      <x:c r="A8" s="8" t="s"/>
      <x:c r="B8" s="9" t="s">
        <x:v>402</x:v>
      </x:c>
      <x:c r="C8" s="9" t="s"/>
      <x:c r="E8" s="46" t="n">
        <x:v>4</x:v>
      </x:c>
      <x:c r="R8" s="10" t="n">
        <x:v>4</x:v>
      </x:c>
    </x:row>
    <x:row r="9" spans="1:18">
      <x:c r="A9" s="8" t="s"/>
      <x:c r="B9" s="9" t="s">
        <x:v>403</x:v>
      </x:c>
      <x:c r="C9" s="9" t="s"/>
      <x:c r="E9" s="46" t="n">
        <x:v>4</x:v>
      </x:c>
      <x:c r="R9" s="10" t="n">
        <x:v>4</x:v>
      </x:c>
    </x:row>
    <x:row r="10" spans="1:18">
      <x:c r="A10" s="8" t="s"/>
      <x:c r="B10" s="9" t="s">
        <x:v>404</x:v>
      </x:c>
      <x:c r="C10" s="9" t="s"/>
      <x:c r="E10" s="46" t="n">
        <x:v>5</x:v>
      </x:c>
      <x:c r="N10" s="46" t="n">
        <x:v>1</x:v>
      </x:c>
      <x:c r="R10" s="10" t="n">
        <x:v>6</x:v>
      </x:c>
    </x:row>
    <x:row r="11" spans="1:18">
      <x:c r="A11" s="8" t="s"/>
      <x:c r="B11" s="9" t="s">
        <x:v>405</x:v>
      </x:c>
      <x:c r="C11" s="9" t="s"/>
      <x:c r="E11" s="46" t="n">
        <x:v>1</x:v>
      </x:c>
      <x:c r="R11" s="10" t="n">
        <x:v>1</x:v>
      </x:c>
    </x:row>
    <x:row r="12" spans="1:18">
      <x:c r="A12" s="8" t="s"/>
      <x:c r="B12" s="9" t="s">
        <x:v>406</x:v>
      </x:c>
      <x:c r="C12" s="9" t="s"/>
      <x:c r="E12" s="46" t="n">
        <x:v>1</x:v>
      </x:c>
      <x:c r="R12" s="10" t="n">
        <x:v>1</x:v>
      </x:c>
    </x:row>
    <x:row r="13" spans="1:18">
      <x:c r="A13" s="8" t="s"/>
      <x:c r="B13" s="9" t="s">
        <x:v>407</x:v>
      </x:c>
      <x:c r="C13" s="9" t="s"/>
      <x:c r="N13" s="46" t="n">
        <x:v>1</x:v>
      </x:c>
      <x:c r="R13" s="10" t="n">
        <x:v>1</x:v>
      </x:c>
    </x:row>
    <x:row r="14" spans="1:18">
      <x:c r="A14" s="8" t="s"/>
      <x:c r="B14" s="9" t="s">
        <x:v>408</x:v>
      </x:c>
      <x:c r="C14" s="9" t="s"/>
      <x:c r="E14" s="46" t="n">
        <x:v>1</x:v>
      </x:c>
      <x:c r="R14" s="10" t="n">
        <x:v>1</x:v>
      </x:c>
    </x:row>
    <x:row r="15" spans="1:18">
      <x:c r="A15" s="8" t="s"/>
      <x:c r="B15" s="9" t="s">
        <x:v>409</x:v>
      </x:c>
      <x:c r="C15" s="9" t="s"/>
      <x:c r="E15" s="46" t="n">
        <x:v>1</x:v>
      </x:c>
      <x:c r="R15" s="10" t="n">
        <x:v>1</x:v>
      </x:c>
    </x:row>
    <x:row r="16" spans="1:18">
      <x:c r="A16" s="8" t="s"/>
      <x:c r="B16" s="9" t="s">
        <x:v>410</x:v>
      </x:c>
      <x:c r="C16" s="9" t="s"/>
      <x:c r="E16" s="46" t="n">
        <x:v>3</x:v>
      </x:c>
      <x:c r="R16" s="10" t="n">
        <x:v>3</x:v>
      </x:c>
    </x:row>
    <x:row r="17" spans="1:18">
      <x:c r="A17" s="8" t="s"/>
      <x:c r="B17" s="9" t="s">
        <x:v>411</x:v>
      </x:c>
      <x:c r="C17" s="9" t="s"/>
      <x:c r="N17" s="46" t="n">
        <x:v>1</x:v>
      </x:c>
      <x:c r="R17" s="10" t="n">
        <x:v>1</x:v>
      </x:c>
    </x:row>
    <x:row r="18" spans="1:18">
      <x:c r="A18" s="8" t="s"/>
      <x:c r="B18" s="9" t="s">
        <x:v>412</x:v>
      </x:c>
      <x:c r="C18" s="9" t="s"/>
      <x:c r="E18" s="46" t="n">
        <x:v>0.3</x:v>
      </x:c>
      <x:c r="R18" s="10" t="n">
        <x:v>0.3</x:v>
      </x:c>
    </x:row>
    <x:row r="19" spans="1:18">
      <x:c r="A19" s="8" t="s"/>
      <x:c r="B19" s="9" t="s">
        <x:v>413</x:v>
      </x:c>
      <x:c r="C19" s="9" t="s"/>
      <x:c r="H19" s="46" t="n">
        <x:v>3</x:v>
      </x:c>
      <x:c r="R19" s="10" t="n">
        <x:v>3</x:v>
      </x:c>
    </x:row>
    <x:row r="20" spans="1:18">
      <x:c r="A20" s="8" t="s"/>
      <x:c r="B20" s="9" t="s">
        <x:v>414</x:v>
      </x:c>
      <x:c r="C20" s="9" t="s"/>
      <x:c r="H20" s="46" t="n">
        <x:v>2</x:v>
      </x:c>
      <x:c r="R20" s="10" t="n">
        <x:v>2</x:v>
      </x:c>
    </x:row>
    <x:row r="21" spans="1:18">
      <x:c r="A21" s="8" t="s"/>
      <x:c r="B21" s="9" t="s">
        <x:v>415</x:v>
      </x:c>
      <x:c r="C21" s="9" t="s"/>
      <x:c r="H21" s="46" t="n">
        <x:v>6</x:v>
      </x:c>
      <x:c r="R21" s="10" t="n">
        <x:v>6</x:v>
      </x:c>
    </x:row>
    <x:row r="22" spans="1:18">
      <x:c r="A22" s="8" t="s"/>
      <x:c r="B22" s="9" t="s">
        <x:v>416</x:v>
      </x:c>
      <x:c r="C22" s="9" t="s"/>
      <x:c r="H22" s="46" t="n">
        <x:v>15.25</x:v>
      </x:c>
      <x:c r="J22" s="46" t="n">
        <x:v>1</x:v>
      </x:c>
      <x:c r="R22" s="10" t="n">
        <x:v>16.25</x:v>
      </x:c>
    </x:row>
    <x:row r="23" spans="1:18">
      <x:c r="A23" s="8" t="s"/>
      <x:c r="B23" s="9" t="s">
        <x:v>417</x:v>
      </x:c>
      <x:c r="C23" s="9" t="n">
        <x:v>6</x:v>
      </x:c>
      <x:c r="D23" s="46" t="n">
        <x:v>1</x:v>
      </x:c>
      <x:c r="F23" s="46" t="n">
        <x:v>1</x:v>
      </x:c>
      <x:c r="H23" s="46" t="n">
        <x:v>1</x:v>
      </x:c>
      <x:c r="I23" s="46" t="n">
        <x:v>1</x:v>
      </x:c>
      <x:c r="K23" s="46" t="n">
        <x:v>2</x:v>
      </x:c>
      <x:c r="O23" s="46" t="n">
        <x:v>3.25</x:v>
      </x:c>
      <x:c r="P23" s="46" t="n">
        <x:v>3</x:v>
      </x:c>
      <x:c r="Q23" s="46" t="n">
        <x:v>0.5</x:v>
      </x:c>
      <x:c r="R23" s="10" t="n">
        <x:v>18.75</x:v>
      </x:c>
    </x:row>
    <x:row r="24" spans="1:18">
      <x:c r="A24" s="8" t="s"/>
      <x:c r="B24" s="9" t="s">
        <x:v>418</x:v>
      </x:c>
      <x:c r="C24" s="9" t="n">
        <x:v>3</x:v>
      </x:c>
      <x:c r="H24" s="46" t="n">
        <x:v>5</x:v>
      </x:c>
      <x:c r="K24" s="46" t="n">
        <x:v>1</x:v>
      </x:c>
      <x:c r="M24" s="46" t="n">
        <x:v>1</x:v>
      </x:c>
      <x:c r="P24" s="46" t="n">
        <x:v>4</x:v>
      </x:c>
      <x:c r="R24" s="10" t="n">
        <x:v>14</x:v>
      </x:c>
    </x:row>
    <x:row r="25" spans="1:18">
      <x:c r="A25" s="8" t="s"/>
      <x:c r="B25" s="9" t="s">
        <x:v>419</x:v>
      </x:c>
      <x:c r="C25" s="9" t="n">
        <x:v>1</x:v>
      </x:c>
      <x:c r="H25" s="46" t="n">
        <x:v>4</x:v>
      </x:c>
      <x:c r="J25" s="46" t="n">
        <x:v>2</x:v>
      </x:c>
      <x:c r="O25" s="46" t="n">
        <x:v>1</x:v>
      </x:c>
      <x:c r="R25" s="10" t="n">
        <x:v>8</x:v>
      </x:c>
    </x:row>
    <x:row r="26" spans="1:18">
      <x:c r="A26" s="8" t="s"/>
      <x:c r="B26" s="9" t="s">
        <x:v>420</x:v>
      </x:c>
      <x:c r="C26" s="9" t="s"/>
      <x:c r="H26" s="46" t="n">
        <x:v>4</x:v>
      </x:c>
      <x:c r="R26" s="10" t="n">
        <x:v>4</x:v>
      </x:c>
    </x:row>
    <x:row r="27" spans="1:18">
      <x:c r="A27" s="8" t="s"/>
      <x:c r="B27" s="47" t="s">
        <x:v>421</x:v>
      </x:c>
      <x:c r="C27" s="9" t="n">
        <x:v>47</x:v>
      </x:c>
      <x:c r="D27" s="46" t="n">
        <x:v>13</x:v>
      </x:c>
      <x:c r="I27" s="46" t="n">
        <x:v>2</x:v>
      </x:c>
      <x:c r="K27" s="46" t="n">
        <x:v>6</x:v>
      </x:c>
      <x:c r="M27" s="46" t="n">
        <x:v>3</x:v>
      </x:c>
      <x:c r="O27" s="46" t="n">
        <x:v>9</x:v>
      </x:c>
      <x:c r="R27" s="10" t="n">
        <x:v>80</x:v>
      </x:c>
    </x:row>
    <x:row r="28" spans="1:18">
      <x:c r="A28" s="8" t="s"/>
      <x:c r="B28" s="9" t="s">
        <x:v>422</x:v>
      </x:c>
      <x:c r="C28" s="9" t="n">
        <x:v>32</x:v>
      </x:c>
      <x:c r="H28" s="46" t="n">
        <x:v>31.3</x:v>
      </x:c>
      <x:c r="J28" s="46" t="n">
        <x:v>1</x:v>
      </x:c>
      <x:c r="M28" s="46" t="n">
        <x:v>1</x:v>
      </x:c>
      <x:c r="O28" s="46" t="n">
        <x:v>2</x:v>
      </x:c>
      <x:c r="R28" s="10" t="n">
        <x:v>67.3</x:v>
      </x:c>
    </x:row>
    <x:row r="29" spans="1:18">
      <x:c r="A29" s="8" t="s"/>
      <x:c r="B29" s="9" t="s">
        <x:v>423</x:v>
      </x:c>
      <x:c r="C29" s="9" t="n">
        <x:v>42</x:v>
      </x:c>
      <x:c r="H29" s="46" t="n">
        <x:v>47.25</x:v>
      </x:c>
      <x:c r="M29" s="46" t="n">
        <x:v>1</x:v>
      </x:c>
      <x:c r="O29" s="46" t="n">
        <x:v>3</x:v>
      </x:c>
      <x:c r="R29" s="10" t="n">
        <x:v>93.25</x:v>
      </x:c>
    </x:row>
    <x:row r="30" spans="1:18">
      <x:c r="A30" s="8" t="s"/>
      <x:c r="B30" s="9" t="s">
        <x:v>424</x:v>
      </x:c>
      <x:c r="C30" s="9" t="s"/>
      <x:c r="H30" s="46" t="n">
        <x:v>45</x:v>
      </x:c>
      <x:c r="M30" s="46" t="n">
        <x:v>1</x:v>
      </x:c>
      <x:c r="R30" s="10" t="n">
        <x:v>46</x:v>
      </x:c>
    </x:row>
    <x:row r="31" spans="1:18">
      <x:c r="A31" s="8" t="s"/>
      <x:c r="B31" s="9" t="s">
        <x:v>425</x:v>
      </x:c>
      <x:c r="C31" s="9" t="s"/>
      <x:c r="H31" s="46" t="n">
        <x:v>0.25</x:v>
      </x:c>
      <x:c r="N31" s="46" t="n">
        <x:v>1</x:v>
      </x:c>
      <x:c r="O31" s="46" t="n">
        <x:v>2</x:v>
      </x:c>
      <x:c r="R31" s="10" t="n">
        <x:v>3.25</x:v>
      </x:c>
    </x:row>
    <x:row r="32" spans="1:18">
      <x:c r="A32" s="8" t="s"/>
      <x:c r="B32" s="9" t="s">
        <x:v>426</x:v>
      </x:c>
      <x:c r="C32" s="9" t="s"/>
      <x:c r="H32" s="46" t="n">
        <x:v>2</x:v>
      </x:c>
      <x:c r="R32" s="10" t="n">
        <x:v>2</x:v>
      </x:c>
    </x:row>
    <x:row r="33" spans="1:18">
      <x:c r="A33" s="8" t="s"/>
      <x:c r="B33" s="9" t="s">
        <x:v>427</x:v>
      </x:c>
      <x:c r="C33" s="9" t="s"/>
      <x:c r="E33" s="46" t="n">
        <x:v>1</x:v>
      </x:c>
      <x:c r="R33" s="10" t="n">
        <x:v>1</x:v>
      </x:c>
    </x:row>
    <x:row r="34" spans="1:18">
      <x:c r="A34" s="8" t="s"/>
      <x:c r="B34" s="9" t="s">
        <x:v>428</x:v>
      </x:c>
      <x:c r="C34" s="9" t="s"/>
      <x:c r="E34" s="46" t="n">
        <x:v>2</x:v>
      </x:c>
      <x:c r="R34" s="10" t="n">
        <x:v>2</x:v>
      </x:c>
    </x:row>
    <x:row r="35" spans="1:18">
      <x:c r="A35" s="8" t="s"/>
      <x:c r="B35" s="9" t="s">
        <x:v>429</x:v>
      </x:c>
      <x:c r="C35" s="9" t="s"/>
      <x:c r="E35" s="46" t="n">
        <x:v>1</x:v>
      </x:c>
      <x:c r="R35" s="10" t="n">
        <x:v>1</x:v>
      </x:c>
    </x:row>
    <x:row r="36" spans="1:18">
      <x:c r="A36" s="8" t="s"/>
      <x:c r="B36" s="9" t="s">
        <x:v>430</x:v>
      </x:c>
      <x:c r="C36" s="9" t="s"/>
      <x:c r="K36" s="46" t="n">
        <x:v>1</x:v>
      </x:c>
      <x:c r="R36" s="10" t="n">
        <x:v>1</x:v>
      </x:c>
    </x:row>
    <x:row r="37" spans="1:18">
      <x:c r="A37" s="8" t="s"/>
      <x:c r="B37" s="9" t="s">
        <x:v>431</x:v>
      </x:c>
      <x:c r="C37" s="9" t="s"/>
      <x:c r="H37" s="46" t="n">
        <x:v>1.5</x:v>
      </x:c>
      <x:c r="R37" s="10" t="n">
        <x:v>1.5</x:v>
      </x:c>
    </x:row>
    <x:row r="38" spans="1:18">
      <x:c r="A38" s="8" t="s"/>
      <x:c r="B38" s="9" t="s">
        <x:v>432</x:v>
      </x:c>
      <x:c r="C38" s="9" t="s"/>
      <x:c r="O38" s="46" t="n">
        <x:v>1</x:v>
      </x:c>
      <x:c r="R38" s="10" t="n">
        <x:v>1</x:v>
      </x:c>
    </x:row>
    <x:row r="39" spans="1:18">
      <x:c r="A39" s="8" t="s"/>
      <x:c r="B39" s="9" t="s">
        <x:v>433</x:v>
      </x:c>
      <x:c r="C39" s="9" t="s"/>
      <x:c r="M39" s="46" t="n">
        <x:v>1</x:v>
      </x:c>
      <x:c r="R39" s="10" t="n">
        <x:v>1</x:v>
      </x:c>
    </x:row>
    <x:row r="40" spans="1:18">
      <x:c r="A40" s="8" t="s"/>
      <x:c r="B40" s="9" t="s">
        <x:v>434</x:v>
      </x:c>
      <x:c r="C40" s="9" t="n">
        <x:v>2</x:v>
      </x:c>
      <x:c r="H40" s="46" t="n">
        <x:v>3</x:v>
      </x:c>
      <x:c r="R40" s="10" t="n">
        <x:v>5</x:v>
      </x:c>
    </x:row>
    <x:row r="41" spans="1:18">
      <x:c r="A41" s="8" t="s"/>
      <x:c r="B41" s="9" t="s">
        <x:v>435</x:v>
      </x:c>
      <x:c r="C41" s="9" t="s"/>
      <x:c r="G41" s="46" t="n">
        <x:v>8</x:v>
      </x:c>
      <x:c r="H41" s="46" t="n">
        <x:v>1</x:v>
      </x:c>
      <x:c r="R41" s="10" t="n">
        <x:v>9</x:v>
      </x:c>
    </x:row>
    <x:row r="42" spans="1:18">
      <x:c r="A42" s="8" t="s"/>
      <x:c r="B42" s="9" t="s">
        <x:v>436</x:v>
      </x:c>
      <x:c r="C42" s="9" t="s"/>
      <x:c r="G42" s="46" t="n">
        <x:v>10</x:v>
      </x:c>
      <x:c r="R42" s="10" t="n">
        <x:v>10</x:v>
      </x:c>
    </x:row>
    <x:row r="43" spans="1:18">
      <x:c r="A43" s="8" t="s"/>
      <x:c r="B43" s="9" t="s">
        <x:v>437</x:v>
      </x:c>
      <x:c r="C43" s="9" t="n">
        <x:v>1</x:v>
      </x:c>
      <x:c r="H43" s="46" t="n">
        <x:v>1</x:v>
      </x:c>
      <x:c r="R43" s="10" t="n">
        <x:v>2</x:v>
      </x:c>
    </x:row>
    <x:row r="44" spans="1:18">
      <x:c r="A44" s="8" t="s"/>
      <x:c r="B44" s="9" t="s">
        <x:v>438</x:v>
      </x:c>
      <x:c r="C44" s="9" t="s"/>
      <x:c r="G44" s="46" t="n">
        <x:v>9</x:v>
      </x:c>
      <x:c r="R44" s="10" t="n">
        <x:v>9</x:v>
      </x:c>
    </x:row>
    <x:row r="45" spans="1:18">
      <x:c r="A45" s="8" t="s"/>
      <x:c r="B45" s="9" t="s">
        <x:v>439</x:v>
      </x:c>
      <x:c r="C45" s="9" t="n">
        <x:v>1</x:v>
      </x:c>
      <x:c r="R45" s="10" t="n">
        <x:v>1</x:v>
      </x:c>
    </x:row>
    <x:row r="46" spans="1:18">
      <x:c r="A46" s="8" t="s"/>
      <x:c r="B46" s="9" t="s">
        <x:v>440</x:v>
      </x:c>
      <x:c r="C46" s="9" t="n">
        <x:v>1</x:v>
      </x:c>
      <x:c r="H46" s="46" t="n">
        <x:v>1</x:v>
      </x:c>
      <x:c r="R46" s="10" t="n">
        <x:v>2</x:v>
      </x:c>
    </x:row>
    <x:row r="47" spans="1:18">
      <x:c r="A47" s="8" t="s"/>
      <x:c r="B47" s="9" t="s">
        <x:v>441</x:v>
      </x:c>
      <x:c r="C47" s="9" t="n">
        <x:v>1</x:v>
      </x:c>
      <x:c r="R47" s="10" t="n">
        <x:v>1</x:v>
      </x:c>
    </x:row>
    <x:row r="48" spans="1:18">
      <x:c r="A48" s="8" t="s"/>
      <x:c r="B48" s="9" t="s">
        <x:v>442</x:v>
      </x:c>
      <x:c r="C48" s="9" t="n">
        <x:v>3</x:v>
      </x:c>
      <x:c r="D48" s="46" t="n">
        <x:v>6</x:v>
      </x:c>
      <x:c r="R48" s="10" t="n">
        <x:v>9</x:v>
      </x:c>
    </x:row>
    <x:row r="49" spans="1:18">
      <x:c r="A49" s="8" t="s"/>
      <x:c r="B49" s="9" t="s">
        <x:v>443</x:v>
      </x:c>
      <x:c r="C49" s="9" t="s"/>
      <x:c r="D49" s="46" t="n">
        <x:v>3</x:v>
      </x:c>
      <x:c r="R49" s="10" t="n">
        <x:v>3</x:v>
      </x:c>
    </x:row>
    <x:row r="50" spans="1:18">
      <x:c r="A50" s="8" t="s"/>
      <x:c r="B50" s="9" t="s">
        <x:v>444</x:v>
      </x:c>
      <x:c r="C50" s="9" t="n">
        <x:v>2.5</x:v>
      </x:c>
      <x:c r="H50" s="46" t="n">
        <x:v>1</x:v>
      </x:c>
      <x:c r="R50" s="10" t="n">
        <x:v>3.5</x:v>
      </x:c>
    </x:row>
    <x:row r="51" spans="1:18">
      <x:c r="A51" s="8" t="s"/>
      <x:c r="B51" s="9" t="s">
        <x:v>445</x:v>
      </x:c>
      <x:c r="C51" s="9" t="s"/>
      <x:c r="D51" s="46" t="n">
        <x:v>2</x:v>
      </x:c>
      <x:c r="R51" s="10" t="n">
        <x:v>2</x:v>
      </x:c>
    </x:row>
    <x:row r="52" spans="1:18">
      <x:c r="A52" s="8" t="s"/>
      <x:c r="B52" s="9" t="s">
        <x:v>446</x:v>
      </x:c>
      <x:c r="C52" s="9" t="s"/>
      <x:c r="E52" s="46" t="n">
        <x:v>0.25</x:v>
      </x:c>
      <x:c r="N52" s="46" t="n">
        <x:v>0.75</x:v>
      </x:c>
      <x:c r="R52" s="10" t="n">
        <x:v>1</x:v>
      </x:c>
    </x:row>
    <x:row r="53" spans="1:18">
      <x:c r="A53" s="8" t="s"/>
      <x:c r="B53" s="9" t="s">
        <x:v>447</x:v>
      </x:c>
      <x:c r="C53" s="9" t="n">
        <x:v>3</x:v>
      </x:c>
      <x:c r="G53" s="46" t="n">
        <x:v>1</x:v>
      </x:c>
      <x:c r="H53" s="46" t="n">
        <x:v>1</x:v>
      </x:c>
      <x:c r="R53" s="10" t="n">
        <x:v>5</x:v>
      </x:c>
    </x:row>
    <x:row r="54" spans="1:18">
      <x:c r="A54" s="8" t="s"/>
      <x:c r="B54" s="9" t="s">
        <x:v>448</x:v>
      </x:c>
      <x:c r="C54" s="9" t="s"/>
      <x:c r="E54" s="46" t="n">
        <x:v>0.25</x:v>
      </x:c>
      <x:c r="N54" s="46" t="n">
        <x:v>0.75</x:v>
      </x:c>
      <x:c r="R54" s="10" t="n">
        <x:v>1</x:v>
      </x:c>
    </x:row>
    <x:row r="55" spans="1:18">
      <x:c r="A55" s="8" t="s"/>
      <x:c r="B55" s="9" t="s">
        <x:v>449</x:v>
      </x:c>
      <x:c r="C55" s="9" t="n">
        <x:v>1</x:v>
      </x:c>
      <x:c r="R55" s="10" t="n">
        <x:v>1</x:v>
      </x:c>
    </x:row>
    <x:row r="56" spans="1:18">
      <x:c r="A56" s="8" t="s"/>
      <x:c r="B56" s="9" t="s">
        <x:v>450</x:v>
      </x:c>
      <x:c r="C56" s="9" t="n">
        <x:v>1</x:v>
      </x:c>
      <x:c r="R56" s="10" t="n">
        <x:v>1</x:v>
      </x:c>
    </x:row>
    <x:row r="57" spans="1:18">
      <x:c r="A57" s="8" t="s"/>
      <x:c r="B57" s="9" t="s">
        <x:v>451</x:v>
      </x:c>
      <x:c r="C57" s="9" t="s"/>
      <x:c r="E57" s="46" t="n">
        <x:v>5</x:v>
      </x:c>
      <x:c r="R57" s="10" t="n">
        <x:v>5</x:v>
      </x:c>
    </x:row>
    <x:row r="58" spans="1:18">
      <x:c r="A58" s="8" t="s"/>
      <x:c r="B58" s="9" t="s">
        <x:v>452</x:v>
      </x:c>
      <x:c r="C58" s="9" t="s"/>
      <x:c r="E58" s="46" t="n">
        <x:v>0.75</x:v>
      </x:c>
      <x:c r="N58" s="46" t="n">
        <x:v>0.25</x:v>
      </x:c>
      <x:c r="R58" s="10" t="n">
        <x:v>1</x:v>
      </x:c>
    </x:row>
    <x:row r="59" spans="1:18">
      <x:c r="A59" s="8" t="s"/>
      <x:c r="B59" s="9" t="s">
        <x:v>453</x:v>
      </x:c>
      <x:c r="C59" s="9" t="s"/>
      <x:c r="H59" s="46" t="n">
        <x:v>1</x:v>
      </x:c>
      <x:c r="I59" s="46" t="n">
        <x:v>0.5</x:v>
      </x:c>
      <x:c r="R59" s="10" t="n">
        <x:v>1.5</x:v>
      </x:c>
    </x:row>
    <x:row r="60" spans="1:18">
      <x:c r="A60" s="8" t="s"/>
      <x:c r="B60" s="9" t="s">
        <x:v>454</x:v>
      </x:c>
      <x:c r="C60" s="9" t="n">
        <x:v>1</x:v>
      </x:c>
      <x:c r="D60" s="46" t="n">
        <x:v>1</x:v>
      </x:c>
      <x:c r="H60" s="46" t="n">
        <x:v>5.9</x:v>
      </x:c>
      <x:c r="R60" s="10" t="n">
        <x:v>7.9</x:v>
      </x:c>
    </x:row>
    <x:row r="61" spans="1:18">
      <x:c r="A61" s="8" t="s"/>
      <x:c r="B61" s="9" t="s">
        <x:v>455</x:v>
      </x:c>
      <x:c r="C61" s="9" t="n">
        <x:v>1</x:v>
      </x:c>
      <x:c r="R61" s="10" t="n">
        <x:v>1</x:v>
      </x:c>
    </x:row>
    <x:row r="62" spans="1:18">
      <x:c r="A62" s="8" t="s"/>
      <x:c r="B62" s="9" t="s">
        <x:v>456</x:v>
      </x:c>
      <x:c r="C62" s="9" t="n">
        <x:v>3</x:v>
      </x:c>
      <x:c r="R62" s="10" t="n">
        <x:v>3</x:v>
      </x:c>
    </x:row>
    <x:row r="63" spans="1:18">
      <x:c r="A63" s="8" t="s"/>
      <x:c r="B63" s="9" t="s">
        <x:v>457</x:v>
      </x:c>
      <x:c r="C63" s="9" t="s"/>
      <x:c r="H63" s="46" t="n">
        <x:v>1</x:v>
      </x:c>
      <x:c r="R63" s="10" t="n">
        <x:v>1</x:v>
      </x:c>
    </x:row>
    <x:row r="64" spans="1:18">
      <x:c r="A64" s="8" t="s"/>
      <x:c r="B64" s="9" t="s">
        <x:v>458</x:v>
      </x:c>
      <x:c r="C64" s="9" t="s"/>
      <x:c r="K64" s="46" t="n">
        <x:v>1</x:v>
      </x:c>
      <x:c r="R64" s="10" t="n">
        <x:v>1</x:v>
      </x:c>
    </x:row>
    <x:row r="65" spans="1:18">
      <x:c r="A65" s="8" t="s"/>
      <x:c r="B65" s="9" t="s">
        <x:v>459</x:v>
      </x:c>
      <x:c r="C65" s="9" t="s"/>
      <x:c r="H65" s="46" t="n">
        <x:v>2</x:v>
      </x:c>
      <x:c r="R65" s="10" t="n">
        <x:v>2</x:v>
      </x:c>
    </x:row>
    <x:row r="66" spans="1:18">
      <x:c r="A66" s="8" t="s"/>
      <x:c r="B66" s="9" t="s">
        <x:v>460</x:v>
      </x:c>
      <x:c r="C66" s="9" t="s"/>
      <x:c r="D66" s="46" t="n">
        <x:v>3</x:v>
      </x:c>
      <x:c r="F66" s="46" t="n">
        <x:v>5</x:v>
      </x:c>
      <x:c r="Q66" s="46" t="n">
        <x:v>6</x:v>
      </x:c>
      <x:c r="R66" s="10" t="n">
        <x:v>14</x:v>
      </x:c>
    </x:row>
    <x:row r="67" spans="1:18">
      <x:c r="A67" s="8" t="s"/>
      <x:c r="B67" s="9" t="s">
        <x:v>461</x:v>
      </x:c>
      <x:c r="C67" s="9" t="s"/>
      <x:c r="H67" s="46" t="n">
        <x:v>1</x:v>
      </x:c>
      <x:c r="R67" s="10" t="n">
        <x:v>1</x:v>
      </x:c>
    </x:row>
    <x:row r="68" spans="1:18">
      <x:c r="A68" s="8" t="s"/>
      <x:c r="B68" s="9" t="s">
        <x:v>462</x:v>
      </x:c>
      <x:c r="C68" s="9" t="n">
        <x:v>1</x:v>
      </x:c>
      <x:c r="Q68" s="46" t="n">
        <x:v>1</x:v>
      </x:c>
      <x:c r="R68" s="10" t="n">
        <x:v>2</x:v>
      </x:c>
    </x:row>
    <x:row r="69" spans="1:18">
      <x:c r="A69" s="8" t="s"/>
      <x:c r="B69" s="9" t="s">
        <x:v>463</x:v>
      </x:c>
      <x:c r="C69" s="9" t="s"/>
      <x:c r="F69" s="46" t="n">
        <x:v>1</x:v>
      </x:c>
      <x:c r="K69" s="46" t="n">
        <x:v>1</x:v>
      </x:c>
      <x:c r="N69" s="46" t="n">
        <x:v>4</x:v>
      </x:c>
      <x:c r="R69" s="10" t="n">
        <x:v>6</x:v>
      </x:c>
    </x:row>
    <x:row r="70" spans="1:18">
      <x:c r="A70" s="8" t="s"/>
      <x:c r="B70" s="9" t="s">
        <x:v>464</x:v>
      </x:c>
      <x:c r="C70" s="9" t="n">
        <x:v>1</x:v>
      </x:c>
      <x:c r="F70" s="46" t="n">
        <x:v>3</x:v>
      </x:c>
      <x:c r="H70" s="46" t="n">
        <x:v>1</x:v>
      </x:c>
      <x:c r="K70" s="46" t="n">
        <x:v>4</x:v>
      </x:c>
      <x:c r="R70" s="10" t="n">
        <x:v>9</x:v>
      </x:c>
    </x:row>
    <x:row r="71" spans="1:18">
      <x:c r="A71" s="8" t="s"/>
      <x:c r="B71" s="9" t="s">
        <x:v>465</x:v>
      </x:c>
      <x:c r="C71" s="9" t="n">
        <x:v>8</x:v>
      </x:c>
      <x:c r="H71" s="46" t="n">
        <x:v>6</x:v>
      </x:c>
      <x:c r="R71" s="10" t="n">
        <x:v>14</x:v>
      </x:c>
    </x:row>
    <x:row r="72" spans="1:18">
      <x:c r="A72" s="8" t="s"/>
      <x:c r="B72" s="9" t="s">
        <x:v>466</x:v>
      </x:c>
      <x:c r="C72" s="9" t="s"/>
      <x:c r="M72" s="46" t="n">
        <x:v>2</x:v>
      </x:c>
      <x:c r="R72" s="10" t="n">
        <x:v>2</x:v>
      </x:c>
    </x:row>
    <x:row r="73" spans="1:18">
      <x:c r="A73" s="8" t="s"/>
      <x:c r="B73" s="9" t="s">
        <x:v>467</x:v>
      </x:c>
      <x:c r="C73" s="9" t="s"/>
      <x:c r="E73" s="46" t="n">
        <x:v>5</x:v>
      </x:c>
      <x:c r="R73" s="10" t="n">
        <x:v>5</x:v>
      </x:c>
    </x:row>
    <x:row r="74" spans="1:18">
      <x:c r="A74" s="8" t="s"/>
      <x:c r="B74" s="9" t="s">
        <x:v>468</x:v>
      </x:c>
      <x:c r="C74" s="9" t="s"/>
      <x:c r="G74" s="46" t="n">
        <x:v>2</x:v>
      </x:c>
      <x:c r="R74" s="10" t="n">
        <x:v>2</x:v>
      </x:c>
    </x:row>
    <x:row r="75" spans="1:18">
      <x:c r="A75" s="8" t="s"/>
      <x:c r="B75" s="9" t="s">
        <x:v>469</x:v>
      </x:c>
      <x:c r="C75" s="9" t="s"/>
      <x:c r="G75" s="46" t="n">
        <x:v>5</x:v>
      </x:c>
      <x:c r="R75" s="10" t="n">
        <x:v>5</x:v>
      </x:c>
    </x:row>
    <x:row r="76" spans="1:18">
      <x:c r="A76" s="8" t="s"/>
      <x:c r="B76" s="9" t="s">
        <x:v>470</x:v>
      </x:c>
      <x:c r="C76" s="9" t="n">
        <x:v>8</x:v>
      </x:c>
      <x:c r="H76" s="46" t="n">
        <x:v>2</x:v>
      </x:c>
      <x:c r="R76" s="10" t="n">
        <x:v>10</x:v>
      </x:c>
    </x:row>
    <x:row r="77" spans="1:18">
      <x:c r="A77" s="8" t="s"/>
      <x:c r="B77" s="9" t="s">
        <x:v>471</x:v>
      </x:c>
      <x:c r="C77" s="9" t="n">
        <x:v>3</x:v>
      </x:c>
      <x:c r="G77" s="46" t="n">
        <x:v>24</x:v>
      </x:c>
      <x:c r="H77" s="46" t="n">
        <x:v>4</x:v>
      </x:c>
      <x:c r="R77" s="10" t="n">
        <x:v>31</x:v>
      </x:c>
    </x:row>
    <x:row r="78" spans="1:18">
      <x:c r="A78" s="8" t="s"/>
      <x:c r="B78" s="9" t="s">
        <x:v>472</x:v>
      </x:c>
      <x:c r="C78" s="9" t="s"/>
      <x:c r="K78" s="46" t="n">
        <x:v>2</x:v>
      </x:c>
      <x:c r="R78" s="10" t="n">
        <x:v>2</x:v>
      </x:c>
    </x:row>
    <x:row r="79" spans="1:18">
      <x:c r="A79" s="8" t="s"/>
      <x:c r="B79" s="9" t="s">
        <x:v>473</x:v>
      </x:c>
      <x:c r="C79" s="9" t="s"/>
      <x:c r="G79" s="46" t="n">
        <x:v>39.5</x:v>
      </x:c>
      <x:c r="R79" s="10" t="n">
        <x:v>39.5</x:v>
      </x:c>
    </x:row>
    <x:row r="80" spans="1:18">
      <x:c r="A80" s="8" t="s"/>
      <x:c r="B80" s="9" t="s">
        <x:v>474</x:v>
      </x:c>
      <x:c r="C80" s="9" t="s"/>
      <x:c r="G80" s="46" t="n">
        <x:v>252.5</x:v>
      </x:c>
      <x:c r="H80" s="46" t="n">
        <x:v>2</x:v>
      </x:c>
      <x:c r="O80" s="46" t="n">
        <x:v>6</x:v>
      </x:c>
      <x:c r="R80" s="10" t="n">
        <x:v>260.5</x:v>
      </x:c>
    </x:row>
    <x:row r="81" spans="1:18">
      <x:c r="A81" s="8" t="s"/>
      <x:c r="B81" s="9" t="s">
        <x:v>475</x:v>
      </x:c>
      <x:c r="C81" s="9" t="s"/>
      <x:c r="G81" s="46" t="n">
        <x:v>244</x:v>
      </x:c>
      <x:c r="H81" s="46" t="n">
        <x:v>3</x:v>
      </x:c>
      <x:c r="N81" s="46" t="n">
        <x:v>8</x:v>
      </x:c>
      <x:c r="O81" s="46" t="n">
        <x:v>3</x:v>
      </x:c>
      <x:c r="R81" s="10" t="n">
        <x:v>258</x:v>
      </x:c>
    </x:row>
    <x:row r="82" spans="1:18">
      <x:c r="A82" s="8" t="s"/>
      <x:c r="B82" s="9" t="s">
        <x:v>476</x:v>
      </x:c>
      <x:c r="C82" s="9" t="n">
        <x:v>4</x:v>
      </x:c>
      <x:c r="F82" s="46" t="n">
        <x:v>1</x:v>
      </x:c>
      <x:c r="H82" s="46" t="n">
        <x:v>1</x:v>
      </x:c>
      <x:c r="K82" s="46" t="n">
        <x:v>1</x:v>
      </x:c>
      <x:c r="R82" s="10" t="n">
        <x:v>7</x:v>
      </x:c>
    </x:row>
    <x:row r="83" spans="1:18">
      <x:c r="A83" s="8" t="s"/>
      <x:c r="B83" s="9" t="s">
        <x:v>477</x:v>
      </x:c>
      <x:c r="C83" s="9" t="n">
        <x:v>3</x:v>
      </x:c>
      <x:c r="D83" s="46" t="n">
        <x:v>2</x:v>
      </x:c>
      <x:c r="H83" s="46" t="n">
        <x:v>3</x:v>
      </x:c>
      <x:c r="J83" s="46" t="n">
        <x:v>5</x:v>
      </x:c>
      <x:c r="K83" s="46" t="n">
        <x:v>1</x:v>
      </x:c>
      <x:c r="Q83" s="46" t="n">
        <x:v>2</x:v>
      </x:c>
      <x:c r="R83" s="10" t="n">
        <x:v>16</x:v>
      </x:c>
    </x:row>
    <x:row r="84" spans="1:18">
      <x:c r="A84" s="8" t="s"/>
      <x:c r="B84" s="9" t="s">
        <x:v>478</x:v>
      </x:c>
      <x:c r="C84" s="9" t="n">
        <x:v>8</x:v>
      </x:c>
      <x:c r="D84" s="46" t="n">
        <x:v>2</x:v>
      </x:c>
      <x:c r="H84" s="46" t="n">
        <x:v>11</x:v>
      </x:c>
      <x:c r="J84" s="46" t="n">
        <x:v>1</x:v>
      </x:c>
      <x:c r="R84" s="10" t="n">
        <x:v>22</x:v>
      </x:c>
    </x:row>
    <x:row r="85" spans="1:18">
      <x:c r="A85" s="8" t="s"/>
      <x:c r="B85" s="9" t="s">
        <x:v>479</x:v>
      </x:c>
      <x:c r="C85" s="9" t="n">
        <x:v>1</x:v>
      </x:c>
      <x:c r="R85" s="10" t="n">
        <x:v>1</x:v>
      </x:c>
    </x:row>
    <x:row r="86" spans="1:18">
      <x:c r="A86" s="8" t="s"/>
      <x:c r="B86" s="9" t="s">
        <x:v>480</x:v>
      </x:c>
      <x:c r="C86" s="9" t="n">
        <x:v>2</x:v>
      </x:c>
      <x:c r="R86" s="10" t="n">
        <x:v>2</x:v>
      </x:c>
    </x:row>
    <x:row r="87" spans="1:18">
      <x:c r="A87" s="8" t="s"/>
      <x:c r="B87" s="9" t="s">
        <x:v>481</x:v>
      </x:c>
      <x:c r="C87" s="9" t="n">
        <x:v>1</x:v>
      </x:c>
      <x:c r="R87" s="10" t="n">
        <x:v>1</x:v>
      </x:c>
    </x:row>
    <x:row r="88" spans="1:18">
      <x:c r="A88" s="8" t="s"/>
      <x:c r="B88" s="9" t="s">
        <x:v>482</x:v>
      </x:c>
      <x:c r="C88" s="9" t="n">
        <x:v>1</x:v>
      </x:c>
      <x:c r="R88" s="10" t="n">
        <x:v>1</x:v>
      </x:c>
    </x:row>
    <x:row r="89" spans="1:18">
      <x:c r="A89" s="8" t="s"/>
      <x:c r="B89" s="9" t="s">
        <x:v>483</x:v>
      </x:c>
      <x:c r="C89" s="9" t="n">
        <x:v>2</x:v>
      </x:c>
      <x:c r="H89" s="46" t="n">
        <x:v>1</x:v>
      </x:c>
      <x:c r="O89" s="46" t="n">
        <x:v>1</x:v>
      </x:c>
      <x:c r="R89" s="10" t="n">
        <x:v>4</x:v>
      </x:c>
    </x:row>
    <x:row r="90" spans="1:18">
      <x:c r="A90" s="8" t="s"/>
      <x:c r="B90" s="9" t="s">
        <x:v>484</x:v>
      </x:c>
      <x:c r="C90" s="9" t="n">
        <x:v>8</x:v>
      </x:c>
      <x:c r="H90" s="46" t="n">
        <x:v>2</x:v>
      </x:c>
      <x:c r="R90" s="10" t="n">
        <x:v>10</x:v>
      </x:c>
    </x:row>
    <x:row r="91" spans="1:18">
      <x:c r="A91" s="8" t="s"/>
      <x:c r="B91" s="9" t="s">
        <x:v>485</x:v>
      </x:c>
      <x:c r="C91" s="9" t="s"/>
      <x:c r="E91" s="46" t="n">
        <x:v>1</x:v>
      </x:c>
      <x:c r="R91" s="10" t="n">
        <x:v>1</x:v>
      </x:c>
    </x:row>
    <x:row r="92" spans="1:18">
      <x:c r="A92" s="8" t="s"/>
      <x:c r="B92" s="9" t="s">
        <x:v>486</x:v>
      </x:c>
      <x:c r="C92" s="9" t="n">
        <x:v>6</x:v>
      </x:c>
      <x:c r="L92" s="46" t="n">
        <x:v>1</x:v>
      </x:c>
      <x:c r="R92" s="10" t="n">
        <x:v>7</x:v>
      </x:c>
    </x:row>
    <x:row r="93" spans="1:18">
      <x:c r="A93" s="8" t="s"/>
      <x:c r="B93" s="9" t="s">
        <x:v>487</x:v>
      </x:c>
      <x:c r="C93" s="9" t="n">
        <x:v>1</x:v>
      </x:c>
      <x:c r="R93" s="10" t="n">
        <x:v>1</x:v>
      </x:c>
    </x:row>
    <x:row r="94" spans="1:18">
      <x:c r="A94" s="8" t="s"/>
      <x:c r="B94" s="9" t="s">
        <x:v>488</x:v>
      </x:c>
      <x:c r="C94" s="9" t="s"/>
      <x:c r="N94" s="46" t="n">
        <x:v>1</x:v>
      </x:c>
      <x:c r="R94" s="10" t="n">
        <x:v>1</x:v>
      </x:c>
    </x:row>
    <x:row r="95" spans="1:18">
      <x:c r="A95" s="8" t="s"/>
      <x:c r="B95" s="9" t="s">
        <x:v>489</x:v>
      </x:c>
      <x:c r="C95" s="9" t="n">
        <x:v>1</x:v>
      </x:c>
      <x:c r="R95" s="10" t="n">
        <x:v>1</x:v>
      </x:c>
    </x:row>
    <x:row r="96" spans="1:18">
      <x:c r="A96" s="8" t="s"/>
      <x:c r="B96" s="47" t="s">
        <x:v>490</x:v>
      </x:c>
      <x:c r="C96" s="9" t="n">
        <x:v>9</x:v>
      </x:c>
      <x:c r="E96" s="46" t="n">
        <x:v>3</x:v>
      </x:c>
      <x:c r="G96" s="46" t="n">
        <x:v>1</x:v>
      </x:c>
      <x:c r="I96" s="46" t="n">
        <x:v>1</x:v>
      </x:c>
      <x:c r="K96" s="46" t="n">
        <x:v>5.5</x:v>
      </x:c>
      <x:c r="Q96" s="46" t="n">
        <x:v>2</x:v>
      </x:c>
      <x:c r="R96" s="10" t="n">
        <x:v>21.5</x:v>
      </x:c>
    </x:row>
    <x:row r="97" spans="1:18">
      <x:c r="A97" s="8" t="s"/>
      <x:c r="B97" s="9" t="s">
        <x:v>491</x:v>
      </x:c>
      <x:c r="C97" s="9" t="s"/>
      <x:c r="D97" s="46" t="n">
        <x:v>2</x:v>
      </x:c>
      <x:c r="R97" s="10" t="n">
        <x:v>2</x:v>
      </x:c>
    </x:row>
    <x:row r="98" spans="1:18">
      <x:c r="A98" s="8" t="s"/>
      <x:c r="B98" s="9" t="s">
        <x:v>492</x:v>
      </x:c>
      <x:c r="C98" s="9" t="n">
        <x:v>21</x:v>
      </x:c>
      <x:c r="E98" s="46" t="n">
        <x:v>1</x:v>
      </x:c>
      <x:c r="H98" s="46" t="n">
        <x:v>3</x:v>
      </x:c>
      <x:c r="I98" s="46" t="n">
        <x:v>1</x:v>
      </x:c>
      <x:c r="K98" s="46" t="n">
        <x:v>5</x:v>
      </x:c>
      <x:c r="N98" s="46" t="n">
        <x:v>1</x:v>
      </x:c>
      <x:c r="Q98" s="46" t="n">
        <x:v>3</x:v>
      </x:c>
      <x:c r="R98" s="10" t="n">
        <x:v>35</x:v>
      </x:c>
    </x:row>
    <x:row r="99" spans="1:18">
      <x:c r="A99" s="8" t="s"/>
      <x:c r="B99" s="47" t="s">
        <x:v>493</x:v>
      </x:c>
      <x:c r="C99" s="9" t="n">
        <x:v>4</x:v>
      </x:c>
      <x:c r="H99" s="46" t="n">
        <x:v>1.1</x:v>
      </x:c>
      <x:c r="J99" s="46" t="n">
        <x:v>1</x:v>
      </x:c>
      <x:c r="L99" s="46" t="n">
        <x:v>1</x:v>
      </x:c>
      <x:c r="Q99" s="46" t="n">
        <x:v>1</x:v>
      </x:c>
      <x:c r="R99" s="10" t="n">
        <x:v>8.1</x:v>
      </x:c>
    </x:row>
    <x:row r="100" spans="1:18">
      <x:c r="A100" s="8" t="s"/>
      <x:c r="B100" s="9" t="s">
        <x:v>494</x:v>
      </x:c>
      <x:c r="C100" s="9" t="n">
        <x:v>9</x:v>
      </x:c>
      <x:c r="F100" s="46" t="n">
        <x:v>3</x:v>
      </x:c>
      <x:c r="H100" s="46" t="n">
        <x:v>18.1</x:v>
      </x:c>
      <x:c r="I100" s="46" t="n">
        <x:v>1</x:v>
      </x:c>
      <x:c r="J100" s="46" t="n">
        <x:v>3</x:v>
      </x:c>
      <x:c r="L100" s="46" t="n">
        <x:v>2</x:v>
      </x:c>
      <x:c r="Q100" s="46" t="n">
        <x:v>1</x:v>
      </x:c>
      <x:c r="R100" s="10" t="n">
        <x:v>37.1</x:v>
      </x:c>
    </x:row>
    <x:row r="101" spans="1:18">
      <x:c r="A101" s="8" t="s"/>
      <x:c r="B101" s="9" t="s">
        <x:v>495</x:v>
      </x:c>
      <x:c r="C101" s="9" t="s"/>
      <x:c r="D101" s="46" t="n">
        <x:v>4</x:v>
      </x:c>
      <x:c r="G101" s="46" t="n">
        <x:v>2</x:v>
      </x:c>
      <x:c r="H101" s="46" t="n">
        <x:v>3</x:v>
      </x:c>
      <x:c r="R101" s="10" t="n">
        <x:v>9</x:v>
      </x:c>
    </x:row>
    <x:row r="102" spans="1:18">
      <x:c r="A102" s="8" t="s"/>
      <x:c r="B102" s="9" t="s">
        <x:v>496</x:v>
      </x:c>
      <x:c r="C102" s="9" t="s"/>
      <x:c r="E102" s="46" t="n">
        <x:v>0.25</x:v>
      </x:c>
      <x:c r="N102" s="46" t="n">
        <x:v>0.75</x:v>
      </x:c>
      <x:c r="R102" s="10" t="n">
        <x:v>1</x:v>
      </x:c>
    </x:row>
    <x:row r="103" spans="1:18">
      <x:c r="A103" s="8" t="s"/>
      <x:c r="B103" s="9" t="s">
        <x:v>497</x:v>
      </x:c>
      <x:c r="C103" s="9" t="n">
        <x:v>1</x:v>
      </x:c>
      <x:c r="H103" s="46" t="n">
        <x:v>2</x:v>
      </x:c>
      <x:c r="R103" s="10" t="n">
        <x:v>3</x:v>
      </x:c>
    </x:row>
    <x:row r="104" spans="1:18">
      <x:c r="A104" s="8" t="s"/>
      <x:c r="B104" s="9" t="s">
        <x:v>498</x:v>
      </x:c>
      <x:c r="C104" s="9" t="s"/>
      <x:c r="E104" s="46" t="n">
        <x:v>0.25</x:v>
      </x:c>
      <x:c r="N104" s="46" t="n">
        <x:v>0.75</x:v>
      </x:c>
      <x:c r="R104" s="10" t="n">
        <x:v>1</x:v>
      </x:c>
    </x:row>
    <x:row r="105" spans="1:18">
      <x:c r="A105" s="8" t="s"/>
      <x:c r="B105" s="9" t="s">
        <x:v>499</x:v>
      </x:c>
      <x:c r="C105" s="9" t="s"/>
      <x:c r="G105" s="46" t="n">
        <x:v>1</x:v>
      </x:c>
      <x:c r="R105" s="10" t="n">
        <x:v>1</x:v>
      </x:c>
    </x:row>
    <x:row r="106" spans="1:18">
      <x:c r="A106" s="8" t="s"/>
      <x:c r="B106" s="9" t="s">
        <x:v>500</x:v>
      </x:c>
      <x:c r="C106" s="9" t="n">
        <x:v>2</x:v>
      </x:c>
      <x:c r="K106" s="46" t="n">
        <x:v>1</x:v>
      </x:c>
      <x:c r="M106" s="46" t="n">
        <x:v>1</x:v>
      </x:c>
      <x:c r="R106" s="10" t="n">
        <x:v>4</x:v>
      </x:c>
    </x:row>
    <x:row r="107" spans="1:18">
      <x:c r="A107" s="8" t="s"/>
      <x:c r="B107" s="9" t="s">
        <x:v>501</x:v>
      </x:c>
      <x:c r="C107" s="9" t="s"/>
      <x:c r="D107" s="46" t="n">
        <x:v>1</x:v>
      </x:c>
      <x:c r="I107" s="46" t="n">
        <x:v>2</x:v>
      </x:c>
      <x:c r="O107" s="46" t="n">
        <x:v>1</x:v>
      </x:c>
      <x:c r="R107" s="10" t="n">
        <x:v>4</x:v>
      </x:c>
    </x:row>
    <x:row r="108" spans="1:18">
      <x:c r="A108" s="8" t="s"/>
      <x:c r="B108" s="9" t="s">
        <x:v>502</x:v>
      </x:c>
      <x:c r="C108" s="9" t="s"/>
      <x:c r="H108" s="46" t="n">
        <x:v>40</x:v>
      </x:c>
      <x:c r="J108" s="46" t="n">
        <x:v>1</x:v>
      </x:c>
      <x:c r="K108" s="46" t="n">
        <x:v>2</x:v>
      </x:c>
      <x:c r="M108" s="46" t="n">
        <x:v>47</x:v>
      </x:c>
      <x:c r="R108" s="10" t="n">
        <x:v>90</x:v>
      </x:c>
    </x:row>
    <x:row r="109" spans="1:18">
      <x:c r="A109" s="8" t="s"/>
      <x:c r="B109" s="9" t="s">
        <x:v>503</x:v>
      </x:c>
      <x:c r="C109" s="9" t="n">
        <x:v>24</x:v>
      </x:c>
      <x:c r="H109" s="46" t="n">
        <x:v>31</x:v>
      </x:c>
      <x:c r="J109" s="46" t="n">
        <x:v>1</x:v>
      </x:c>
      <x:c r="R109" s="10" t="n">
        <x:v>56</x:v>
      </x:c>
    </x:row>
    <x:row r="110" spans="1:18">
      <x:c r="A110" s="8" t="s"/>
      <x:c r="B110" s="9" t="s">
        <x:v>504</x:v>
      </x:c>
      <x:c r="C110" s="9" t="n">
        <x:v>18</x:v>
      </x:c>
      <x:c r="H110" s="46" t="n">
        <x:v>4</x:v>
      </x:c>
      <x:c r="M110" s="46" t="n">
        <x:v>6</x:v>
      </x:c>
      <x:c r="R110" s="10" t="n">
        <x:v>28</x:v>
      </x:c>
    </x:row>
    <x:row r="111" spans="1:18">
      <x:c r="A111" s="8" t="s"/>
      <x:c r="B111" s="9" t="s">
        <x:v>505</x:v>
      </x:c>
      <x:c r="C111" s="9" t="n">
        <x:v>28</x:v>
      </x:c>
      <x:c r="H111" s="46" t="n">
        <x:v>7</x:v>
      </x:c>
      <x:c r="M111" s="46" t="n">
        <x:v>3</x:v>
      </x:c>
      <x:c r="R111" s="10" t="n">
        <x:v>38</x:v>
      </x:c>
    </x:row>
    <x:row r="112" spans="1:18">
      <x:c r="A112" s="8" t="s"/>
      <x:c r="B112" s="9" t="s">
        <x:v>506</x:v>
      </x:c>
      <x:c r="C112" s="9" t="s"/>
      <x:c r="K112" s="46" t="n">
        <x:v>1</x:v>
      </x:c>
      <x:c r="R112" s="10" t="n">
        <x:v>1</x:v>
      </x:c>
    </x:row>
    <x:row r="113" spans="1:18">
      <x:c r="A113" s="8" t="s"/>
      <x:c r="B113" s="9" t="s">
        <x:v>507</x:v>
      </x:c>
      <x:c r="C113" s="9" t="s"/>
      <x:c r="H113" s="46" t="n">
        <x:v>1</x:v>
      </x:c>
      <x:c r="R113" s="10" t="n">
        <x:v>1</x:v>
      </x:c>
    </x:row>
    <x:row r="114" spans="1:18">
      <x:c r="A114" s="8" t="s"/>
      <x:c r="B114" s="9" t="s">
        <x:v>508</x:v>
      </x:c>
      <x:c r="C114" s="9" t="n">
        <x:v>1</x:v>
      </x:c>
      <x:c r="R114" s="10" t="n">
        <x:v>1</x:v>
      </x:c>
    </x:row>
    <x:row r="115" spans="1:18">
      <x:c r="A115" s="8" t="s"/>
      <x:c r="B115" s="9" t="s">
        <x:v>509</x:v>
      </x:c>
      <x:c r="C115" s="9" t="s"/>
      <x:c r="H115" s="46" t="n">
        <x:v>5</x:v>
      </x:c>
      <x:c r="R115" s="10" t="n">
        <x:v>5</x:v>
      </x:c>
    </x:row>
    <x:row r="116" spans="1:18">
      <x:c r="A116" s="8" t="s"/>
      <x:c r="B116" s="9" t="s">
        <x:v>510</x:v>
      </x:c>
      <x:c r="C116" s="9" t="s"/>
      <x:c r="H116" s="46" t="n">
        <x:v>3</x:v>
      </x:c>
      <x:c r="R116" s="10" t="n">
        <x:v>3</x:v>
      </x:c>
    </x:row>
    <x:row r="117" spans="1:18">
      <x:c r="A117" s="8" t="s"/>
      <x:c r="B117" s="47" t="s">
        <x:v>511</x:v>
      </x:c>
      <x:c r="C117" s="9" t="n">
        <x:v>1</x:v>
      </x:c>
      <x:c r="D117" s="46" t="n">
        <x:v>1</x:v>
      </x:c>
      <x:c r="E117" s="46" t="n">
        <x:v>1</x:v>
      </x:c>
      <x:c r="G117" s="46" t="n">
        <x:v>1</x:v>
      </x:c>
      <x:c r="H117" s="46" t="n">
        <x:v>4</x:v>
      </x:c>
      <x:c r="L117" s="46" t="n">
        <x:v>1</x:v>
      </x:c>
      <x:c r="R117" s="10" t="n">
        <x:v>9</x:v>
      </x:c>
    </x:row>
    <x:row r="118" spans="1:18">
      <x:c r="A118" s="8" t="s"/>
      <x:c r="B118" s="9" t="s">
        <x:v>512</x:v>
      </x:c>
      <x:c r="C118" s="9" t="n">
        <x:v>4</x:v>
      </x:c>
      <x:c r="E118" s="46" t="n">
        <x:v>2</x:v>
      </x:c>
      <x:c r="F118" s="46" t="n">
        <x:v>1</x:v>
      </x:c>
      <x:c r="H118" s="46" t="n">
        <x:v>4</x:v>
      </x:c>
      <x:c r="I118" s="46" t="n">
        <x:v>1</x:v>
      </x:c>
      <x:c r="K118" s="46" t="n">
        <x:v>1</x:v>
      </x:c>
      <x:c r="M118" s="46" t="n">
        <x:v>3</x:v>
      </x:c>
      <x:c r="O118" s="46" t="n">
        <x:v>1</x:v>
      </x:c>
      <x:c r="Q118" s="46" t="n">
        <x:v>1</x:v>
      </x:c>
      <x:c r="R118" s="10" t="n">
        <x:v>18</x:v>
      </x:c>
    </x:row>
    <x:row r="119" spans="1:18">
      <x:c r="A119" s="8" t="s"/>
      <x:c r="B119" s="9" t="s">
        <x:v>513</x:v>
      </x:c>
      <x:c r="C119" s="9" t="s"/>
      <x:c r="G119" s="46" t="n">
        <x:v>0.5</x:v>
      </x:c>
      <x:c r="R119" s="10" t="n">
        <x:v>0.5</x:v>
      </x:c>
    </x:row>
    <x:row r="120" spans="1:18">
      <x:c r="A120" s="8" t="s"/>
      <x:c r="B120" s="9" t="s">
        <x:v>514</x:v>
      </x:c>
      <x:c r="C120" s="9" t="s"/>
      <x:c r="G120" s="46" t="n">
        <x:v>0.5</x:v>
      </x:c>
      <x:c r="R120" s="10" t="n">
        <x:v>0.5</x:v>
      </x:c>
    </x:row>
    <x:row r="121" spans="1:18">
      <x:c r="A121" s="8" t="s"/>
      <x:c r="B121" s="9" t="s">
        <x:v>515</x:v>
      </x:c>
      <x:c r="C121" s="9" t="n">
        <x:v>1</x:v>
      </x:c>
      <x:c r="R121" s="10" t="n">
        <x:v>1</x:v>
      </x:c>
    </x:row>
    <x:row r="122" spans="1:18">
      <x:c r="A122" s="8" t="s"/>
      <x:c r="B122" s="9" t="s">
        <x:v>516</x:v>
      </x:c>
      <x:c r="C122" s="9" t="n">
        <x:v>1</x:v>
      </x:c>
      <x:c r="H122" s="46" t="n">
        <x:v>4</x:v>
      </x:c>
      <x:c r="R122" s="10" t="n">
        <x:v>5</x:v>
      </x:c>
    </x:row>
    <x:row r="123" spans="1:18">
      <x:c r="A123" s="8" t="s"/>
      <x:c r="B123" s="9" t="s">
        <x:v>517</x:v>
      </x:c>
      <x:c r="C123" s="9" t="n">
        <x:v>4</x:v>
      </x:c>
      <x:c r="H123" s="46" t="n">
        <x:v>3</x:v>
      </x:c>
      <x:c r="R123" s="10" t="n">
        <x:v>7</x:v>
      </x:c>
    </x:row>
    <x:row r="124" spans="1:18">
      <x:c r="A124" s="8" t="s"/>
      <x:c r="B124" s="47" t="s">
        <x:v>518</x:v>
      </x:c>
      <x:c r="C124" s="9" t="n">
        <x:v>3</x:v>
      </x:c>
      <x:c r="H124" s="46" t="n">
        <x:v>5</x:v>
      </x:c>
      <x:c r="R124" s="10" t="n">
        <x:v>8</x:v>
      </x:c>
    </x:row>
    <x:row r="125" spans="1:18">
      <x:c r="A125" s="8" t="s"/>
      <x:c r="B125" s="9" t="s">
        <x:v>519</x:v>
      </x:c>
      <x:c r="C125" s="9" t="n">
        <x:v>3</x:v>
      </x:c>
      <x:c r="R125" s="10" t="n">
        <x:v>3</x:v>
      </x:c>
    </x:row>
    <x:row r="126" spans="1:18">
      <x:c r="A126" s="8" t="s"/>
      <x:c r="B126" s="47" t="s">
        <x:v>520</x:v>
      </x:c>
      <x:c r="C126" s="9" t="s"/>
      <x:c r="E126" s="46" t="n">
        <x:v>0.3</x:v>
      </x:c>
      <x:c r="R126" s="10" t="n">
        <x:v>0.3</x:v>
      </x:c>
    </x:row>
    <x:row r="127" spans="1:18">
      <x:c r="A127" s="8" t="s"/>
      <x:c r="B127" s="9" t="s">
        <x:v>521</x:v>
      </x:c>
      <x:c r="C127" s="9" t="n">
        <x:v>15</x:v>
      </x:c>
      <x:c r="F127" s="46" t="n">
        <x:v>2</x:v>
      </x:c>
      <x:c r="G127" s="46" t="n">
        <x:v>1</x:v>
      </x:c>
      <x:c r="H127" s="46" t="n">
        <x:v>27</x:v>
      </x:c>
      <x:c r="J127" s="46" t="n">
        <x:v>3</x:v>
      </x:c>
      <x:c r="K127" s="46" t="n">
        <x:v>1</x:v>
      </x:c>
      <x:c r="Q127" s="46" t="n">
        <x:v>5</x:v>
      </x:c>
      <x:c r="R127" s="10" t="n">
        <x:v>54</x:v>
      </x:c>
    </x:row>
    <x:row r="128" spans="1:18">
      <x:c r="A128" s="8" t="s"/>
      <x:c r="B128" s="9" t="s">
        <x:v>522</x:v>
      </x:c>
      <x:c r="C128" s="9" t="s"/>
      <x:c r="E128" s="46" t="n">
        <x:v>1</x:v>
      </x:c>
      <x:c r="R128" s="10" t="n">
        <x:v>1</x:v>
      </x:c>
    </x:row>
    <x:row r="129" spans="1:18">
      <x:c r="A129" s="8" t="s"/>
      <x:c r="B129" s="9" t="s">
        <x:v>523</x:v>
      </x:c>
      <x:c r="C129" s="9" t="n">
        <x:v>14</x:v>
      </x:c>
      <x:c r="F129" s="46" t="n">
        <x:v>3</x:v>
      </x:c>
      <x:c r="G129" s="46" t="n">
        <x:v>2</x:v>
      </x:c>
      <x:c r="H129" s="46" t="n">
        <x:v>30</x:v>
      </x:c>
      <x:c r="I129" s="46" t="n">
        <x:v>2</x:v>
      </x:c>
      <x:c r="J129" s="46" t="n">
        <x:v>8</x:v>
      </x:c>
      <x:c r="K129" s="46" t="n">
        <x:v>7</x:v>
      </x:c>
      <x:c r="L129" s="46" t="n">
        <x:v>8</x:v>
      </x:c>
      <x:c r="M129" s="46" t="n">
        <x:v>2</x:v>
      </x:c>
      <x:c r="R129" s="10" t="n">
        <x:v>76</x:v>
      </x:c>
    </x:row>
    <x:row r="130" spans="1:18">
      <x:c r="A130" s="8" t="s"/>
      <x:c r="B130" s="9" t="s">
        <x:v>524</x:v>
      </x:c>
      <x:c r="C130" s="9" t="n">
        <x:v>2</x:v>
      </x:c>
      <x:c r="R130" s="10" t="n">
        <x:v>2</x:v>
      </x:c>
    </x:row>
    <x:row r="131" spans="1:18">
      <x:c r="A131" s="8" t="s"/>
      <x:c r="B131" s="9" t="s">
        <x:v>525</x:v>
      </x:c>
      <x:c r="C131" s="9" t="n">
        <x:v>3</x:v>
      </x:c>
      <x:c r="R131" s="10" t="n">
        <x:v>3</x:v>
      </x:c>
    </x:row>
    <x:row r="132" spans="1:18">
      <x:c r="A132" s="8" t="s"/>
      <x:c r="B132" s="9" t="s">
        <x:v>526</x:v>
      </x:c>
      <x:c r="C132" s="9" t="s"/>
      <x:c r="O132" s="46" t="n">
        <x:v>8.4</x:v>
      </x:c>
      <x:c r="R132" s="10" t="n">
        <x:v>8.4</x:v>
      </x:c>
    </x:row>
    <x:row r="133" spans="1:18">
      <x:c r="A133" s="8" t="s"/>
      <x:c r="B133" s="15" t="s"/>
      <x:c r="C133" s="5" t="n">
        <x:v>379.5</x:v>
      </x:c>
      <x:c r="D133" s="6" t="n">
        <x:v>41</x:v>
      </x:c>
      <x:c r="E133" s="6" t="n">
        <x:v>47.35</x:v>
      </x:c>
      <x:c r="F133" s="6" t="n">
        <x:v>20</x:v>
      </x:c>
      <x:c r="G133" s="6" t="n">
        <x:v>604</x:v>
      </x:c>
      <x:c r="H133" s="6" t="n">
        <x:v>418.65</x:v>
      </x:c>
      <x:c r="I133" s="6" t="n">
        <x:v>11.5</x:v>
      </x:c>
      <x:c r="J133" s="6" t="n">
        <x:v>27</x:v>
      </x:c>
      <x:c r="K133" s="6" t="n">
        <x:v>43.5</x:v>
      </x:c>
      <x:c r="L133" s="6" t="n">
        <x:v>13</x:v>
      </x:c>
      <x:c r="M133" s="6" t="n">
        <x:v>72</x:v>
      </x:c>
      <x:c r="N133" s="6" t="n">
        <x:v>26.25</x:v>
      </x:c>
      <x:c r="O133" s="6" t="n">
        <x:v>41.65</x:v>
      </x:c>
      <x:c r="P133" s="6" t="n">
        <x:v>7</x:v>
      </x:c>
      <x:c r="Q133" s="6" t="n">
        <x:v>22.5</x:v>
      </x:c>
      <x:c r="R133" s="7" t="n">
        <x:v>1774.9</x:v>
      </x:c>
    </x:row>
    <x:row r="134" spans="1:18">
      <x:c r="A134" s="5" t="s">
        <x:v>527</x:v>
      </x:c>
      <x:c r="B134" s="15" t="s"/>
      <x:c r="C134" s="5" t="n">
        <x:v>379.5</x:v>
      </x:c>
      <x:c r="D134" s="6" t="n">
        <x:v>41</x:v>
      </x:c>
      <x:c r="E134" s="6" t="n">
        <x:v>47.35</x:v>
      </x:c>
      <x:c r="F134" s="6" t="n">
        <x:v>20</x:v>
      </x:c>
      <x:c r="G134" s="6" t="n">
        <x:v>604</x:v>
      </x:c>
      <x:c r="H134" s="6" t="n">
        <x:v>418.65</x:v>
      </x:c>
      <x:c r="I134" s="6" t="n">
        <x:v>11.5</x:v>
      </x:c>
      <x:c r="J134" s="6" t="n">
        <x:v>27</x:v>
      </x:c>
      <x:c r="K134" s="6" t="n">
        <x:v>43.5</x:v>
      </x:c>
      <x:c r="L134" s="6" t="n">
        <x:v>13</x:v>
      </x:c>
      <x:c r="M134" s="6" t="n">
        <x:v>72</x:v>
      </x:c>
      <x:c r="N134" s="6" t="n">
        <x:v>26.25</x:v>
      </x:c>
      <x:c r="O134" s="6" t="n">
        <x:v>41.65</x:v>
      </x:c>
      <x:c r="P134" s="6" t="n">
        <x:v>7</x:v>
      </x:c>
      <x:c r="Q134" s="6" t="n">
        <x:v>22.5</x:v>
      </x:c>
      <x:c r="R134" s="7" t="n">
        <x:v>1774.9</x:v>
      </x:c>
    </x:row>
    <x:row r="135" spans="1:18">
      <x:c r="A135" s="11" t="s">
        <x:v>18</x:v>
      </x:c>
      <x:c r="B135" s="12" t="s"/>
      <x:c r="C135" s="11" t="n">
        <x:v>379.5</x:v>
      </x:c>
      <x:c r="D135" s="13" t="n">
        <x:v>41</x:v>
      </x:c>
      <x:c r="E135" s="13" t="n">
        <x:v>47.35</x:v>
      </x:c>
      <x:c r="F135" s="13" t="n">
        <x:v>20</x:v>
      </x:c>
      <x:c r="G135" s="13" t="n">
        <x:v>604</x:v>
      </x:c>
      <x:c r="H135" s="13" t="n">
        <x:v>418.65</x:v>
      </x:c>
      <x:c r="I135" s="13" t="n">
        <x:v>11.5</x:v>
      </x:c>
      <x:c r="J135" s="13" t="n">
        <x:v>27</x:v>
      </x:c>
      <x:c r="K135" s="13" t="n">
        <x:v>43.5</x:v>
      </x:c>
      <x:c r="L135" s="13" t="n">
        <x:v>13</x:v>
      </x:c>
      <x:c r="M135" s="13" t="n">
        <x:v>72</x:v>
      </x:c>
      <x:c r="N135" s="13" t="n">
        <x:v>26.25</x:v>
      </x:c>
      <x:c r="O135" s="13" t="n">
        <x:v>41.65</x:v>
      </x:c>
      <x:c r="P135" s="13" t="n">
        <x:v>7</x:v>
      </x:c>
      <x:c r="Q135" s="13" t="n">
        <x:v>22.5</x:v>
      </x:c>
      <x:c r="R135" s="14" t="n">
        <x:v>1774.9</x:v>
      </x:c>
    </x:row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58"/>
  <x:sheetViews>
    <x:sheetView topLeftCell="A118" workbookViewId="0">
      <x:selection activeCell="K37" sqref="K37 K37:K37"/>
    </x:sheetView>
  </x:sheetViews>
  <x:sheetFormatPr defaultColWidth="13.561875" defaultRowHeight="15"/>
  <x:cols>
    <x:col min="1" max="1" width="29.855469" style="46" customWidth="1"/>
    <x:col min="2" max="2" width="57.570312" style="46" customWidth="1"/>
  </x:cols>
  <x:sheetData>
    <x:row r="1" spans="1:18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17</x:v>
      </x:c>
      <x:c r="R1" s="7" t="s">
        <x:v>18</x:v>
      </x:c>
    </x:row>
    <x:row r="2" spans="1:18">
      <x:c r="A2" s="5" t="s">
        <x:v>528</x:v>
      </x:c>
      <x:c r="B2" s="5" t="s">
        <x:v>529</x:v>
      </x:c>
      <x:c r="C2" s="5" t="n">
        <x:v>5</x:v>
      </x:c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7" t="n">
        <x:v>5</x:v>
      </x:c>
    </x:row>
    <x:row r="3" spans="1:18">
      <x:c r="A3" s="8" t="s"/>
      <x:c r="B3" s="9" t="s">
        <x:v>530</x:v>
      </x:c>
      <x:c r="C3" s="9" t="s"/>
      <x:c r="H3" s="46" t="n">
        <x:v>5</x:v>
      </x:c>
      <x:c r="R3" s="10" t="n">
        <x:v>5</x:v>
      </x:c>
    </x:row>
    <x:row r="4" spans="1:18">
      <x:c r="A4" s="8" t="s"/>
      <x:c r="B4" s="9" t="s">
        <x:v>531</x:v>
      </x:c>
      <x:c r="C4" s="9" t="s"/>
      <x:c r="D4" s="46" t="n">
        <x:v>11</x:v>
      </x:c>
      <x:c r="R4" s="10" t="n">
        <x:v>11</x:v>
      </x:c>
    </x:row>
    <x:row r="5" spans="1:18">
      <x:c r="A5" s="8" t="s"/>
      <x:c r="B5" s="9" t="s">
        <x:v>532</x:v>
      </x:c>
      <x:c r="C5" s="9" t="n">
        <x:v>1</x:v>
      </x:c>
      <x:c r="R5" s="10" t="n">
        <x:v>1</x:v>
      </x:c>
    </x:row>
    <x:row r="6" spans="1:18">
      <x:c r="A6" s="8" t="s"/>
      <x:c r="B6" s="9" t="s">
        <x:v>533</x:v>
      </x:c>
      <x:c r="C6" s="9" t="s"/>
      <x:c r="H6" s="46" t="n">
        <x:v>1.1</x:v>
      </x:c>
      <x:c r="R6" s="10" t="n">
        <x:v>1.1</x:v>
      </x:c>
    </x:row>
    <x:row r="7" spans="1:18">
      <x:c r="A7" s="8" t="s"/>
      <x:c r="B7" s="9" t="s">
        <x:v>534</x:v>
      </x:c>
      <x:c r="C7" s="9" t="n">
        <x:v>5</x:v>
      </x:c>
      <x:c r="H7" s="46" t="n">
        <x:v>1</x:v>
      </x:c>
      <x:c r="R7" s="10" t="n">
        <x:v>6</x:v>
      </x:c>
    </x:row>
    <x:row r="8" spans="1:18">
      <x:c r="A8" s="8" t="s"/>
      <x:c r="B8" s="9" t="s">
        <x:v>535</x:v>
      </x:c>
      <x:c r="C8" s="9" t="n">
        <x:v>9</x:v>
      </x:c>
      <x:c r="R8" s="10" t="n">
        <x:v>9</x:v>
      </x:c>
    </x:row>
    <x:row r="9" spans="1:18">
      <x:c r="A9" s="8" t="s"/>
      <x:c r="B9" s="9" t="s">
        <x:v>536</x:v>
      </x:c>
      <x:c r="C9" s="9" t="n">
        <x:v>3</x:v>
      </x:c>
      <x:c r="H9" s="46" t="n">
        <x:v>7.5</x:v>
      </x:c>
      <x:c r="R9" s="10" t="n">
        <x:v>10.5</x:v>
      </x:c>
    </x:row>
    <x:row r="10" spans="1:18">
      <x:c r="A10" s="8" t="s"/>
      <x:c r="B10" s="9" t="s">
        <x:v>537</x:v>
      </x:c>
      <x:c r="C10" s="9" t="s"/>
      <x:c r="F10" s="46" t="n">
        <x:v>8</x:v>
      </x:c>
      <x:c r="Q10" s="46" t="n">
        <x:v>3</x:v>
      </x:c>
      <x:c r="R10" s="10" t="n">
        <x:v>11</x:v>
      </x:c>
    </x:row>
    <x:row r="11" spans="1:18">
      <x:c r="A11" s="8" t="s"/>
      <x:c r="B11" s="9" t="s">
        <x:v>538</x:v>
      </x:c>
      <x:c r="C11" s="9" t="s"/>
      <x:c r="Q11" s="46" t="n">
        <x:v>2</x:v>
      </x:c>
      <x:c r="R11" s="10" t="n">
        <x:v>2</x:v>
      </x:c>
    </x:row>
    <x:row r="12" spans="1:18">
      <x:c r="A12" s="8" t="s"/>
      <x:c r="B12" s="9" t="s">
        <x:v>539</x:v>
      </x:c>
      <x:c r="C12" s="9" t="s"/>
      <x:c r="Q12" s="46" t="n">
        <x:v>1</x:v>
      </x:c>
      <x:c r="R12" s="10" t="n">
        <x:v>1</x:v>
      </x:c>
    </x:row>
    <x:row r="13" spans="1:18">
      <x:c r="A13" s="8" t="s"/>
      <x:c r="B13" s="9" t="s">
        <x:v>540</x:v>
      </x:c>
      <x:c r="C13" s="9" t="s"/>
      <x:c r="Q13" s="46" t="n">
        <x:v>5</x:v>
      </x:c>
      <x:c r="R13" s="10" t="n">
        <x:v>5</x:v>
      </x:c>
    </x:row>
    <x:row r="14" spans="1:18">
      <x:c r="A14" s="8" t="s"/>
      <x:c r="B14" s="9" t="s">
        <x:v>541</x:v>
      </x:c>
      <x:c r="C14" s="9" t="s"/>
      <x:c r="Q14" s="46" t="n">
        <x:v>3</x:v>
      </x:c>
      <x:c r="R14" s="10" t="n">
        <x:v>3</x:v>
      </x:c>
    </x:row>
    <x:row r="15" spans="1:18">
      <x:c r="A15" s="8" t="s"/>
      <x:c r="B15" s="9" t="s">
        <x:v>542</x:v>
      </x:c>
      <x:c r="C15" s="9" t="s"/>
      <x:c r="Q15" s="46" t="n">
        <x:v>3</x:v>
      </x:c>
      <x:c r="R15" s="10" t="n">
        <x:v>3</x:v>
      </x:c>
    </x:row>
    <x:row r="16" spans="1:18">
      <x:c r="A16" s="8" t="s"/>
      <x:c r="B16" s="9" t="s">
        <x:v>543</x:v>
      </x:c>
      <x:c r="C16" s="9" t="n">
        <x:v>1</x:v>
      </x:c>
      <x:c r="H16" s="46" t="n">
        <x:v>9</x:v>
      </x:c>
      <x:c r="R16" s="10" t="n">
        <x:v>10</x:v>
      </x:c>
    </x:row>
    <x:row r="17" spans="1:18">
      <x:c r="A17" s="8" t="s"/>
      <x:c r="B17" s="9" t="s">
        <x:v>544</x:v>
      </x:c>
      <x:c r="C17" s="9" t="s"/>
      <x:c r="K17" s="46" t="n">
        <x:v>4</x:v>
      </x:c>
      <x:c r="R17" s="10" t="n">
        <x:v>4</x:v>
      </x:c>
    </x:row>
    <x:row r="18" spans="1:18">
      <x:c r="A18" s="8" t="s"/>
      <x:c r="B18" s="9" t="s">
        <x:v>545</x:v>
      </x:c>
      <x:c r="C18" s="9" t="s"/>
      <x:c r="Q18" s="46" t="n">
        <x:v>25</x:v>
      </x:c>
      <x:c r="R18" s="10" t="n">
        <x:v>25</x:v>
      </x:c>
    </x:row>
    <x:row r="19" spans="1:18">
      <x:c r="A19" s="8" t="s"/>
      <x:c r="B19" s="9" t="s">
        <x:v>546</x:v>
      </x:c>
      <x:c r="C19" s="9" t="n">
        <x:v>7</x:v>
      </x:c>
      <x:c r="R19" s="10" t="n">
        <x:v>7</x:v>
      </x:c>
    </x:row>
    <x:row r="20" spans="1:18">
      <x:c r="A20" s="8" t="s"/>
      <x:c r="B20" s="9" t="s">
        <x:v>547</x:v>
      </x:c>
      <x:c r="C20" s="9" t="s"/>
      <x:c r="H20" s="46" t="n">
        <x:v>4</x:v>
      </x:c>
      <x:c r="R20" s="10" t="n">
        <x:v>4</x:v>
      </x:c>
    </x:row>
    <x:row r="21" spans="1:18">
      <x:c r="A21" s="8" t="s"/>
      <x:c r="B21" s="9" t="s">
        <x:v>548</x:v>
      </x:c>
      <x:c r="C21" s="9" t="s"/>
      <x:c r="O21" s="46" t="n">
        <x:v>3</x:v>
      </x:c>
      <x:c r="R21" s="10" t="n">
        <x:v>3</x:v>
      </x:c>
    </x:row>
    <x:row r="22" spans="1:18">
      <x:c r="A22" s="8" t="s"/>
      <x:c r="B22" s="9" t="s">
        <x:v>344</x:v>
      </x:c>
      <x:c r="C22" s="9" t="s"/>
      <x:c r="G22" s="46" t="n">
        <x:v>1</x:v>
      </x:c>
      <x:c r="R22" s="10" t="n">
        <x:v>1</x:v>
      </x:c>
    </x:row>
    <x:row r="23" spans="1:18">
      <x:c r="A23" s="8" t="s"/>
      <x:c r="B23" s="9" t="s">
        <x:v>549</x:v>
      </x:c>
      <x:c r="C23" s="9" t="s"/>
      <x:c r="D23" s="46" t="n">
        <x:v>2.3</x:v>
      </x:c>
      <x:c r="R23" s="10" t="n">
        <x:v>2.3</x:v>
      </x:c>
    </x:row>
    <x:row r="24" spans="1:18">
      <x:c r="A24" s="8" t="s"/>
      <x:c r="B24" s="9" t="s">
        <x:v>550</x:v>
      </x:c>
      <x:c r="C24" s="9" t="n">
        <x:v>6</x:v>
      </x:c>
      <x:c r="H24" s="46" t="n">
        <x:v>4</x:v>
      </x:c>
      <x:c r="I24" s="46" t="n">
        <x:v>2</x:v>
      </x:c>
      <x:c r="K24" s="46" t="n">
        <x:v>1</x:v>
      </x:c>
      <x:c r="L24" s="46" t="n">
        <x:v>11</x:v>
      </x:c>
      <x:c r="P24" s="46" t="n">
        <x:v>2</x:v>
      </x:c>
      <x:c r="R24" s="10" t="n">
        <x:v>26</x:v>
      </x:c>
    </x:row>
    <x:row r="25" spans="1:18">
      <x:c r="A25" s="8" t="s"/>
      <x:c r="B25" s="9" t="s">
        <x:v>551</x:v>
      </x:c>
      <x:c r="C25" s="9" t="s"/>
      <x:c r="M25" s="46" t="n">
        <x:v>41</x:v>
      </x:c>
      <x:c r="R25" s="10" t="n">
        <x:v>41</x:v>
      </x:c>
    </x:row>
    <x:row r="26" spans="1:18">
      <x:c r="A26" s="8" t="s"/>
      <x:c r="B26" s="9" t="s">
        <x:v>552</x:v>
      </x:c>
      <x:c r="C26" s="9" t="s"/>
      <x:c r="M26" s="46" t="n">
        <x:v>30</x:v>
      </x:c>
      <x:c r="R26" s="10" t="n">
        <x:v>30</x:v>
      </x:c>
    </x:row>
    <x:row r="27" spans="1:18">
      <x:c r="A27" s="8" t="s"/>
      <x:c r="B27" s="9" t="s">
        <x:v>553</x:v>
      </x:c>
      <x:c r="C27" s="9" t="s"/>
      <x:c r="Q27" s="46" t="n">
        <x:v>1</x:v>
      </x:c>
      <x:c r="R27" s="10" t="n">
        <x:v>1</x:v>
      </x:c>
    </x:row>
    <x:row r="28" spans="1:18">
      <x:c r="A28" s="8" t="s"/>
      <x:c r="B28" s="9" t="s">
        <x:v>554</x:v>
      </x:c>
      <x:c r="C28" s="9" t="s"/>
      <x:c r="Q28" s="46" t="n">
        <x:v>10</x:v>
      </x:c>
      <x:c r="R28" s="10" t="n">
        <x:v>10</x:v>
      </x:c>
    </x:row>
    <x:row r="29" spans="1:18">
      <x:c r="A29" s="8" t="s"/>
      <x:c r="B29" s="9" t="s">
        <x:v>555</x:v>
      </x:c>
      <x:c r="C29" s="9" t="n">
        <x:v>3</x:v>
      </x:c>
      <x:c r="R29" s="10" t="n">
        <x:v>3</x:v>
      </x:c>
    </x:row>
    <x:row r="30" spans="1:18">
      <x:c r="A30" s="8" t="s"/>
      <x:c r="B30" s="9" t="s">
        <x:v>556</x:v>
      </x:c>
      <x:c r="C30" s="9" t="s"/>
      <x:c r="F30" s="46" t="n">
        <x:v>8</x:v>
      </x:c>
      <x:c r="Q30" s="46" t="n">
        <x:v>3</x:v>
      </x:c>
      <x:c r="R30" s="10" t="n">
        <x:v>11</x:v>
      </x:c>
    </x:row>
    <x:row r="31" spans="1:18">
      <x:c r="A31" s="8" t="s"/>
      <x:c r="B31" s="9" t="s">
        <x:v>557</x:v>
      </x:c>
      <x:c r="C31" s="9" t="s"/>
      <x:c r="Q31" s="46" t="n">
        <x:v>1</x:v>
      </x:c>
      <x:c r="R31" s="10" t="n">
        <x:v>1</x:v>
      </x:c>
    </x:row>
    <x:row r="32" spans="1:18">
      <x:c r="A32" s="8" t="s"/>
      <x:c r="B32" s="9" t="s">
        <x:v>558</x:v>
      </x:c>
      <x:c r="C32" s="9" t="s"/>
      <x:c r="Q32" s="46" t="n">
        <x:v>5</x:v>
      </x:c>
      <x:c r="R32" s="10" t="n">
        <x:v>5</x:v>
      </x:c>
    </x:row>
    <x:row r="33" spans="1:18">
      <x:c r="A33" s="8" t="s"/>
      <x:c r="B33" s="9" t="s">
        <x:v>559</x:v>
      </x:c>
      <x:c r="C33" s="9" t="n">
        <x:v>36</x:v>
      </x:c>
      <x:c r="R33" s="10" t="n">
        <x:v>36</x:v>
      </x:c>
    </x:row>
    <x:row r="34" spans="1:18">
      <x:c r="A34" s="8" t="s"/>
      <x:c r="B34" s="9" t="s">
        <x:v>560</x:v>
      </x:c>
      <x:c r="C34" s="9" t="n">
        <x:v>84</x:v>
      </x:c>
      <x:c r="H34" s="46" t="n">
        <x:v>441.45</x:v>
      </x:c>
      <x:c r="R34" s="10" t="n">
        <x:v>525.45</x:v>
      </x:c>
    </x:row>
    <x:row r="35" spans="1:18">
      <x:c r="A35" s="8" t="s"/>
      <x:c r="B35" s="47" t="s">
        <x:v>362</x:v>
      </x:c>
      <x:c r="C35" s="9" t="s"/>
      <x:c r="D35" s="46" t="n">
        <x:v>4.2</x:v>
      </x:c>
      <x:c r="F35" s="46" t="n">
        <x:v>25</x:v>
      </x:c>
      <x:c r="H35" s="46" t="n">
        <x:v>2</x:v>
      </x:c>
      <x:c r="O35" s="46" t="n">
        <x:v>1</x:v>
      </x:c>
      <x:c r="P35" s="46" t="n">
        <x:v>1</x:v>
      </x:c>
      <x:c r="R35" s="10" t="n">
        <x:v>33.2</x:v>
      </x:c>
    </x:row>
    <x:row r="36" spans="1:18">
      <x:c r="A36" s="8" t="s"/>
      <x:c r="B36" s="9" t="s">
        <x:v>561</x:v>
      </x:c>
      <x:c r="C36" s="9" t="n">
        <x:v>3</x:v>
      </x:c>
      <x:c r="G36" s="46" t="n">
        <x:v>1</x:v>
      </x:c>
      <x:c r="H36" s="46" t="n">
        <x:v>35.15</x:v>
      </x:c>
      <x:c r="Q36" s="46" t="n">
        <x:v>3</x:v>
      </x:c>
      <x:c r="R36" s="10" t="n">
        <x:v>42.15</x:v>
      </x:c>
    </x:row>
    <x:row r="37" spans="1:18">
      <x:c r="A37" s="8" t="s"/>
      <x:c r="B37" s="9" t="s">
        <x:v>562</x:v>
      </x:c>
      <x:c r="C37" s="9" t="n">
        <x:v>3</x:v>
      </x:c>
      <x:c r="H37" s="46" t="n">
        <x:v>36</x:v>
      </x:c>
      <x:c r="Q37" s="46" t="n">
        <x:v>1</x:v>
      </x:c>
      <x:c r="R37" s="10" t="n">
        <x:v>40</x:v>
      </x:c>
    </x:row>
    <x:row r="38" spans="1:18">
      <x:c r="A38" s="8" t="s"/>
      <x:c r="B38" s="9" t="s">
        <x:v>563</x:v>
      </x:c>
      <x:c r="C38" s="9" t="n">
        <x:v>40</x:v>
      </x:c>
      <x:c r="H38" s="46" t="n">
        <x:v>2.1</x:v>
      </x:c>
      <x:c r="I38" s="46" t="n">
        <x:v>1</x:v>
      </x:c>
      <x:c r="J38" s="46" t="n">
        <x:v>1</x:v>
      </x:c>
      <x:c r="K38" s="46" t="n">
        <x:v>1</x:v>
      </x:c>
      <x:c r="L38" s="46" t="n">
        <x:v>1</x:v>
      </x:c>
      <x:c r="Q38" s="46" t="n">
        <x:v>12</x:v>
      </x:c>
      <x:c r="R38" s="10" t="n">
        <x:v>58.1</x:v>
      </x:c>
    </x:row>
    <x:row r="39" spans="1:18">
      <x:c r="A39" s="8" t="s"/>
      <x:c r="B39" s="9" t="s">
        <x:v>564</x:v>
      </x:c>
      <x:c r="C39" s="9" t="s"/>
      <x:c r="H39" s="46" t="n">
        <x:v>20</x:v>
      </x:c>
      <x:c r="R39" s="10" t="n">
        <x:v>20</x:v>
      </x:c>
    </x:row>
    <x:row r="40" spans="1:18">
      <x:c r="A40" s="8" t="s"/>
      <x:c r="B40" s="9" t="s">
        <x:v>565</x:v>
      </x:c>
      <x:c r="C40" s="9" t="s"/>
      <x:c r="G40" s="46" t="n">
        <x:v>11</x:v>
      </x:c>
      <x:c r="R40" s="10" t="n">
        <x:v>11</x:v>
      </x:c>
    </x:row>
    <x:row r="41" spans="1:18">
      <x:c r="A41" s="8" t="s"/>
      <x:c r="B41" s="9" t="s">
        <x:v>566</x:v>
      </x:c>
      <x:c r="C41" s="9" t="s"/>
      <x:c r="F41" s="46" t="n">
        <x:v>4</x:v>
      </x:c>
      <x:c r="R41" s="10" t="n">
        <x:v>4</x:v>
      </x:c>
    </x:row>
    <x:row r="42" spans="1:18">
      <x:c r="A42" s="8" t="s"/>
      <x:c r="B42" s="9" t="s">
        <x:v>567</x:v>
      </x:c>
      <x:c r="C42" s="9" t="s"/>
      <x:c r="H42" s="46" t="n">
        <x:v>10</x:v>
      </x:c>
      <x:c r="R42" s="10" t="n">
        <x:v>10</x:v>
      </x:c>
    </x:row>
    <x:row r="43" spans="1:18">
      <x:c r="A43" s="8" t="s"/>
      <x:c r="B43" s="9" t="s">
        <x:v>568</x:v>
      </x:c>
      <x:c r="C43" s="9" t="n">
        <x:v>2</x:v>
      </x:c>
      <x:c r="Q43" s="46" t="n">
        <x:v>3</x:v>
      </x:c>
      <x:c r="R43" s="10" t="n">
        <x:v>5</x:v>
      </x:c>
    </x:row>
    <x:row r="44" spans="1:18">
      <x:c r="A44" s="8" t="s"/>
      <x:c r="B44" s="9" t="s">
        <x:v>569</x:v>
      </x:c>
      <x:c r="C44" s="9" t="s"/>
      <x:c r="Q44" s="46" t="n">
        <x:v>9</x:v>
      </x:c>
      <x:c r="R44" s="10" t="n">
        <x:v>9</x:v>
      </x:c>
    </x:row>
    <x:row r="45" spans="1:18">
      <x:c r="A45" s="8" t="s"/>
      <x:c r="B45" s="9" t="s">
        <x:v>570</x:v>
      </x:c>
      <x:c r="C45" s="9" t="n">
        <x:v>10</x:v>
      </x:c>
      <x:c r="R45" s="10" t="n">
        <x:v>10</x:v>
      </x:c>
    </x:row>
    <x:row r="46" spans="1:18">
      <x:c r="A46" s="8" t="s"/>
      <x:c r="B46" s="9" t="s">
        <x:v>571</x:v>
      </x:c>
      <x:c r="C46" s="9" t="n">
        <x:v>62</x:v>
      </x:c>
      <x:c r="R46" s="10" t="n">
        <x:v>62</x:v>
      </x:c>
    </x:row>
    <x:row r="47" spans="1:18">
      <x:c r="A47" s="8" t="s"/>
      <x:c r="B47" s="9" t="s">
        <x:v>572</x:v>
      </x:c>
      <x:c r="C47" s="9" t="s"/>
      <x:c r="L47" s="46" t="n">
        <x:v>96.5</x:v>
      </x:c>
      <x:c r="R47" s="10" t="n">
        <x:v>96.5</x:v>
      </x:c>
    </x:row>
    <x:row r="48" spans="1:18">
      <x:c r="A48" s="8" t="s"/>
      <x:c r="B48" s="47" t="s">
        <x:v>573</x:v>
      </x:c>
      <x:c r="C48" s="9" t="s"/>
      <x:c r="Q48" s="46" t="n">
        <x:v>1</x:v>
      </x:c>
      <x:c r="R48" s="10" t="n">
        <x:v>1</x:v>
      </x:c>
    </x:row>
    <x:row r="49" spans="1:18">
      <x:c r="A49" s="8" t="s"/>
      <x:c r="B49" s="9" t="s">
        <x:v>574</x:v>
      </x:c>
      <x:c r="C49" s="9" t="s"/>
      <x:c r="Q49" s="46" t="n">
        <x:v>2</x:v>
      </x:c>
      <x:c r="R49" s="10" t="n">
        <x:v>2</x:v>
      </x:c>
    </x:row>
    <x:row r="50" spans="1:18">
      <x:c r="A50" s="8" t="s"/>
      <x:c r="B50" s="9" t="s">
        <x:v>575</x:v>
      </x:c>
      <x:c r="C50" s="9" t="s"/>
      <x:c r="Q50" s="46" t="n">
        <x:v>3</x:v>
      </x:c>
      <x:c r="R50" s="10" t="n">
        <x:v>3</x:v>
      </x:c>
    </x:row>
    <x:row r="51" spans="1:18">
      <x:c r="A51" s="8" t="s"/>
      <x:c r="B51" s="9" t="s">
        <x:v>576</x:v>
      </x:c>
      <x:c r="C51" s="9" t="s"/>
      <x:c r="Q51" s="46" t="n">
        <x:v>5</x:v>
      </x:c>
      <x:c r="R51" s="10" t="n">
        <x:v>5</x:v>
      </x:c>
    </x:row>
    <x:row r="52" spans="1:18">
      <x:c r="A52" s="8" t="s"/>
      <x:c r="B52" s="9" t="s">
        <x:v>577</x:v>
      </x:c>
      <x:c r="C52" s="9" t="s"/>
      <x:c r="H52" s="46" t="n">
        <x:v>98</x:v>
      </x:c>
      <x:c r="Q52" s="46" t="n">
        <x:v>7</x:v>
      </x:c>
      <x:c r="R52" s="10" t="n">
        <x:v>105</x:v>
      </x:c>
    </x:row>
    <x:row r="53" spans="1:18">
      <x:c r="A53" s="8" t="s"/>
      <x:c r="B53" s="9" t="s">
        <x:v>578</x:v>
      </x:c>
      <x:c r="C53" s="9" t="s"/>
      <x:c r="E53" s="46" t="n">
        <x:v>0.5</x:v>
      </x:c>
      <x:c r="R53" s="10" t="n">
        <x:v>0.5</x:v>
      </x:c>
    </x:row>
    <x:row r="54" spans="1:18">
      <x:c r="A54" s="8" t="s"/>
      <x:c r="B54" s="9" t="s">
        <x:v>579</x:v>
      </x:c>
      <x:c r="C54" s="9" t="s"/>
      <x:c r="Q54" s="46" t="n">
        <x:v>8</x:v>
      </x:c>
      <x:c r="R54" s="10" t="n">
        <x:v>8</x:v>
      </x:c>
    </x:row>
    <x:row r="55" spans="1:18">
      <x:c r="A55" s="8" t="s"/>
      <x:c r="B55" s="9" t="s">
        <x:v>580</x:v>
      </x:c>
      <x:c r="C55" s="9" t="n">
        <x:v>19</x:v>
      </x:c>
      <x:c r="R55" s="10" t="n">
        <x:v>19</x:v>
      </x:c>
    </x:row>
    <x:row r="56" spans="1:18">
      <x:c r="A56" s="8" t="s"/>
      <x:c r="B56" s="9" t="s">
        <x:v>581</x:v>
      </x:c>
      <x:c r="C56" s="9" t="n">
        <x:v>164</x:v>
      </x:c>
      <x:c r="H56" s="46" t="n">
        <x:v>265</x:v>
      </x:c>
      <x:c r="R56" s="10" t="n">
        <x:v>429</x:v>
      </x:c>
    </x:row>
    <x:row r="57" spans="1:18">
      <x:c r="A57" s="8" t="s"/>
      <x:c r="B57" s="9" t="s">
        <x:v>582</x:v>
      </x:c>
      <x:c r="C57" s="9" t="s"/>
      <x:c r="I57" s="46" t="n">
        <x:v>27</x:v>
      </x:c>
      <x:c r="R57" s="10" t="n">
        <x:v>27</x:v>
      </x:c>
    </x:row>
    <x:row r="58" spans="1:18">
      <x:c r="A58" s="8" t="s"/>
      <x:c r="B58" s="9" t="s">
        <x:v>583</x:v>
      </x:c>
      <x:c r="C58" s="9" t="s"/>
      <x:c r="F58" s="46" t="n">
        <x:v>5</x:v>
      </x:c>
      <x:c r="R58" s="10" t="n">
        <x:v>5</x:v>
      </x:c>
    </x:row>
    <x:row r="59" spans="1:18">
      <x:c r="A59" s="8" t="s"/>
      <x:c r="B59" s="9" t="s">
        <x:v>584</x:v>
      </x:c>
      <x:c r="C59" s="9" t="s"/>
      <x:c r="L59" s="46" t="n">
        <x:v>32.5</x:v>
      </x:c>
      <x:c r="Q59" s="46" t="n">
        <x:v>16</x:v>
      </x:c>
      <x:c r="R59" s="10" t="n">
        <x:v>48.5</x:v>
      </x:c>
    </x:row>
    <x:row r="60" spans="1:18">
      <x:c r="A60" s="8" t="s"/>
      <x:c r="B60" s="9" t="s">
        <x:v>585</x:v>
      </x:c>
      <x:c r="C60" s="9" t="n">
        <x:v>2</x:v>
      </x:c>
      <x:c r="R60" s="10" t="n">
        <x:v>2</x:v>
      </x:c>
    </x:row>
    <x:row r="61" spans="1:18">
      <x:c r="A61" s="8" t="s"/>
      <x:c r="B61" s="9" t="s">
        <x:v>586</x:v>
      </x:c>
      <x:c r="C61" s="9" t="n">
        <x:v>1</x:v>
      </x:c>
      <x:c r="R61" s="10" t="n">
        <x:v>1</x:v>
      </x:c>
    </x:row>
    <x:row r="62" spans="1:18">
      <x:c r="A62" s="8" t="s"/>
      <x:c r="B62" s="9" t="s">
        <x:v>587</x:v>
      </x:c>
      <x:c r="C62" s="9" t="n">
        <x:v>4</x:v>
      </x:c>
      <x:c r="R62" s="10" t="n">
        <x:v>4</x:v>
      </x:c>
    </x:row>
    <x:row r="63" spans="1:18">
      <x:c r="A63" s="8" t="s"/>
      <x:c r="B63" s="9" t="s">
        <x:v>588</x:v>
      </x:c>
      <x:c r="C63" s="9" t="n">
        <x:v>5</x:v>
      </x:c>
      <x:c r="R63" s="10" t="n">
        <x:v>5</x:v>
      </x:c>
    </x:row>
    <x:row r="64" spans="1:18">
      <x:c r="A64" s="8" t="s"/>
      <x:c r="B64" s="9" t="s">
        <x:v>589</x:v>
      </x:c>
      <x:c r="C64" s="9" t="n">
        <x:v>9</x:v>
      </x:c>
      <x:c r="R64" s="10" t="n">
        <x:v>9</x:v>
      </x:c>
    </x:row>
    <x:row r="65" spans="1:18">
      <x:c r="A65" s="8" t="s"/>
      <x:c r="B65" s="9" t="s">
        <x:v>590</x:v>
      </x:c>
      <x:c r="C65" s="9" t="n">
        <x:v>3</x:v>
      </x:c>
      <x:c r="R65" s="10" t="n">
        <x:v>3</x:v>
      </x:c>
    </x:row>
    <x:row r="66" spans="1:18">
      <x:c r="A66" s="8" t="s"/>
      <x:c r="B66" s="9" t="s">
        <x:v>591</x:v>
      </x:c>
      <x:c r="C66" s="9" t="s"/>
      <x:c r="M66" s="46" t="n">
        <x:v>24</x:v>
      </x:c>
      <x:c r="R66" s="10" t="n">
        <x:v>24</x:v>
      </x:c>
    </x:row>
    <x:row r="67" spans="1:18">
      <x:c r="A67" s="8" t="s"/>
      <x:c r="B67" s="9" t="s">
        <x:v>592</x:v>
      </x:c>
      <x:c r="C67" s="9" t="s"/>
      <x:c r="P67" s="46" t="n">
        <x:v>23</x:v>
      </x:c>
      <x:c r="R67" s="10" t="n">
        <x:v>23</x:v>
      </x:c>
    </x:row>
    <x:row r="68" spans="1:18">
      <x:c r="A68" s="8" t="s"/>
      <x:c r="B68" s="9" t="s">
        <x:v>593</x:v>
      </x:c>
      <x:c r="C68" s="9" t="s"/>
      <x:c r="N68" s="46" t="n">
        <x:v>1</x:v>
      </x:c>
      <x:c r="R68" s="10" t="n">
        <x:v>1</x:v>
      </x:c>
    </x:row>
    <x:row r="69" spans="1:18">
      <x:c r="A69" s="8" t="s"/>
      <x:c r="B69" s="9" t="s">
        <x:v>594</x:v>
      </x:c>
      <x:c r="C69" s="9" t="s"/>
      <x:c r="E69" s="46" t="n">
        <x:v>5</x:v>
      </x:c>
      <x:c r="R69" s="10" t="n">
        <x:v>5</x:v>
      </x:c>
    </x:row>
    <x:row r="70" spans="1:18">
      <x:c r="A70" s="8" t="s"/>
      <x:c r="B70" s="9" t="s">
        <x:v>595</x:v>
      </x:c>
      <x:c r="C70" s="9" t="s"/>
      <x:c r="E70" s="46" t="n">
        <x:v>4</x:v>
      </x:c>
      <x:c r="R70" s="10" t="n">
        <x:v>4</x:v>
      </x:c>
    </x:row>
    <x:row r="71" spans="1:18">
      <x:c r="A71" s="8" t="s"/>
      <x:c r="B71" s="9" t="s">
        <x:v>596</x:v>
      </x:c>
      <x:c r="C71" s="9" t="s"/>
      <x:c r="K71" s="46" t="n">
        <x:v>11</x:v>
      </x:c>
      <x:c r="R71" s="10" t="n">
        <x:v>11</x:v>
      </x:c>
    </x:row>
    <x:row r="72" spans="1:18">
      <x:c r="A72" s="8" t="s"/>
      <x:c r="B72" s="9" t="s">
        <x:v>597</x:v>
      </x:c>
      <x:c r="C72" s="9" t="s"/>
      <x:c r="K72" s="46" t="n">
        <x:v>1</x:v>
      </x:c>
      <x:c r="R72" s="10" t="n">
        <x:v>1</x:v>
      </x:c>
    </x:row>
    <x:row r="73" spans="1:18">
      <x:c r="A73" s="8" t="s"/>
      <x:c r="B73" s="9" t="s">
        <x:v>598</x:v>
      </x:c>
      <x:c r="C73" s="9" t="s"/>
      <x:c r="E73" s="46" t="n">
        <x:v>11</x:v>
      </x:c>
      <x:c r="R73" s="10" t="n">
        <x:v>11</x:v>
      </x:c>
    </x:row>
    <x:row r="74" spans="1:18">
      <x:c r="A74" s="8" t="s"/>
      <x:c r="B74" s="9" t="s">
        <x:v>599</x:v>
      </x:c>
      <x:c r="C74" s="9" t="s"/>
      <x:c r="E74" s="46" t="n">
        <x:v>10</x:v>
      </x:c>
      <x:c r="R74" s="10" t="n">
        <x:v>10</x:v>
      </x:c>
    </x:row>
    <x:row r="75" spans="1:18">
      <x:c r="A75" s="8" t="s"/>
      <x:c r="B75" s="9" t="s">
        <x:v>600</x:v>
      </x:c>
      <x:c r="C75" s="9" t="s"/>
      <x:c r="E75" s="46" t="n">
        <x:v>11</x:v>
      </x:c>
      <x:c r="R75" s="10" t="n">
        <x:v>11</x:v>
      </x:c>
    </x:row>
    <x:row r="76" spans="1:18">
      <x:c r="A76" s="8" t="s"/>
      <x:c r="B76" s="9" t="s">
        <x:v>601</x:v>
      </x:c>
      <x:c r="C76" s="9" t="s"/>
      <x:c r="E76" s="46" t="n">
        <x:v>13</x:v>
      </x:c>
      <x:c r="R76" s="10" t="n">
        <x:v>13</x:v>
      </x:c>
    </x:row>
    <x:row r="77" spans="1:18">
      <x:c r="A77" s="8" t="s"/>
      <x:c r="B77" s="9" t="s">
        <x:v>602</x:v>
      </x:c>
      <x:c r="C77" s="9" t="s"/>
      <x:c r="E77" s="46" t="n">
        <x:v>3</x:v>
      </x:c>
      <x:c r="R77" s="10" t="n">
        <x:v>3</x:v>
      </x:c>
    </x:row>
    <x:row r="78" spans="1:18">
      <x:c r="A78" s="8" t="s"/>
      <x:c r="B78" s="9" t="s">
        <x:v>603</x:v>
      </x:c>
      <x:c r="C78" s="9" t="s"/>
      <x:c r="E78" s="46" t="n">
        <x:v>9</x:v>
      </x:c>
      <x:c r="R78" s="10" t="n">
        <x:v>9</x:v>
      </x:c>
    </x:row>
    <x:row r="79" spans="1:18">
      <x:c r="A79" s="8" t="s"/>
      <x:c r="B79" s="9" t="s">
        <x:v>604</x:v>
      </x:c>
      <x:c r="C79" s="9" t="s"/>
      <x:c r="E79" s="46" t="n">
        <x:v>2</x:v>
      </x:c>
      <x:c r="R79" s="10" t="n">
        <x:v>2</x:v>
      </x:c>
    </x:row>
    <x:row r="80" spans="1:18">
      <x:c r="A80" s="8" t="s"/>
      <x:c r="B80" s="9" t="s">
        <x:v>605</x:v>
      </x:c>
      <x:c r="C80" s="9" t="s"/>
      <x:c r="E80" s="46" t="n">
        <x:v>1</x:v>
      </x:c>
      <x:c r="R80" s="10" t="n">
        <x:v>1</x:v>
      </x:c>
    </x:row>
    <x:row r="81" spans="1:18">
      <x:c r="A81" s="8" t="s"/>
      <x:c r="B81" s="9" t="s">
        <x:v>606</x:v>
      </x:c>
      <x:c r="C81" s="9" t="s"/>
      <x:c r="E81" s="46" t="n">
        <x:v>4</x:v>
      </x:c>
      <x:c r="R81" s="10" t="n">
        <x:v>4</x:v>
      </x:c>
    </x:row>
    <x:row r="82" spans="1:18">
      <x:c r="A82" s="8" t="s"/>
      <x:c r="B82" s="9" t="s">
        <x:v>607</x:v>
      </x:c>
      <x:c r="C82" s="9" t="s"/>
      <x:c r="K82" s="46" t="n">
        <x:v>9</x:v>
      </x:c>
      <x:c r="R82" s="10" t="n">
        <x:v>9</x:v>
      </x:c>
    </x:row>
    <x:row r="83" spans="1:18">
      <x:c r="A83" s="8" t="s"/>
      <x:c r="B83" s="9" t="s">
        <x:v>608</x:v>
      </x:c>
      <x:c r="C83" s="9" t="s"/>
      <x:c r="K83" s="46" t="n">
        <x:v>19</x:v>
      </x:c>
      <x:c r="R83" s="10" t="n">
        <x:v>19</x:v>
      </x:c>
    </x:row>
    <x:row r="84" spans="1:18">
      <x:c r="A84" s="8" t="s"/>
      <x:c r="B84" s="9" t="s">
        <x:v>609</x:v>
      </x:c>
      <x:c r="C84" s="9" t="s"/>
      <x:c r="K84" s="46" t="n">
        <x:v>9</x:v>
      </x:c>
      <x:c r="R84" s="10" t="n">
        <x:v>9</x:v>
      </x:c>
    </x:row>
    <x:row r="85" spans="1:18">
      <x:c r="A85" s="8" t="s"/>
      <x:c r="B85" s="9" t="s">
        <x:v>610</x:v>
      </x:c>
      <x:c r="C85" s="9" t="n">
        <x:v>39</x:v>
      </x:c>
      <x:c r="R85" s="10" t="n">
        <x:v>39</x:v>
      </x:c>
    </x:row>
    <x:row r="86" spans="1:18">
      <x:c r="A86" s="8" t="s"/>
      <x:c r="B86" s="9" t="s">
        <x:v>611</x:v>
      </x:c>
      <x:c r="C86" s="9" t="n">
        <x:v>61</x:v>
      </x:c>
      <x:c r="H86" s="46" t="n">
        <x:v>39</x:v>
      </x:c>
      <x:c r="R86" s="10" t="n">
        <x:v>100</x:v>
      </x:c>
    </x:row>
    <x:row r="87" spans="1:18">
      <x:c r="A87" s="8" t="s"/>
      <x:c r="B87" s="9" t="s">
        <x:v>612</x:v>
      </x:c>
      <x:c r="C87" s="9" t="s"/>
      <x:c r="H87" s="46" t="n">
        <x:v>70.9</x:v>
      </x:c>
      <x:c r="J87" s="46" t="n">
        <x:v>3</x:v>
      </x:c>
      <x:c r="P87" s="46" t="n">
        <x:v>50</x:v>
      </x:c>
      <x:c r="R87" s="10" t="n">
        <x:v>123.9</x:v>
      </x:c>
    </x:row>
    <x:row r="88" spans="1:18">
      <x:c r="A88" s="8" t="s"/>
      <x:c r="B88" s="9" t="s">
        <x:v>613</x:v>
      </x:c>
      <x:c r="C88" s="9" t="n">
        <x:v>228.5</x:v>
      </x:c>
      <x:c r="I88" s="46" t="n">
        <x:v>1</x:v>
      </x:c>
      <x:c r="J88" s="46" t="n">
        <x:v>3</x:v>
      </x:c>
      <x:c r="P88" s="46" t="n">
        <x:v>8</x:v>
      </x:c>
      <x:c r="R88" s="10" t="n">
        <x:v>240.5</x:v>
      </x:c>
    </x:row>
    <x:row r="89" spans="1:18">
      <x:c r="A89" s="8" t="s"/>
      <x:c r="B89" s="9" t="s">
        <x:v>614</x:v>
      </x:c>
      <x:c r="C89" s="9" t="s"/>
      <x:c r="J89" s="46" t="n">
        <x:v>51</x:v>
      </x:c>
      <x:c r="P89" s="46" t="n">
        <x:v>38</x:v>
      </x:c>
      <x:c r="R89" s="10" t="n">
        <x:v>89</x:v>
      </x:c>
    </x:row>
    <x:row r="90" spans="1:18">
      <x:c r="A90" s="8" t="s"/>
      <x:c r="B90" s="9" t="s">
        <x:v>615</x:v>
      </x:c>
      <x:c r="C90" s="9" t="s"/>
      <x:c r="E90" s="46" t="n">
        <x:v>11</x:v>
      </x:c>
      <x:c r="R90" s="10" t="n">
        <x:v>11</x:v>
      </x:c>
    </x:row>
    <x:row r="91" spans="1:18">
      <x:c r="A91" s="8" t="s"/>
      <x:c r="B91" s="9" t="s">
        <x:v>616</x:v>
      </x:c>
      <x:c r="C91" s="9" t="s"/>
      <x:c r="E91" s="46" t="n">
        <x:v>3</x:v>
      </x:c>
      <x:c r="R91" s="10" t="n">
        <x:v>3</x:v>
      </x:c>
    </x:row>
    <x:row r="92" spans="1:18">
      <x:c r="A92" s="8" t="s"/>
      <x:c r="B92" s="9" t="s">
        <x:v>617</x:v>
      </x:c>
      <x:c r="C92" s="9" t="s"/>
      <x:c r="E92" s="46" t="n">
        <x:v>3</x:v>
      </x:c>
      <x:c r="R92" s="10" t="n">
        <x:v>3</x:v>
      </x:c>
    </x:row>
    <x:row r="93" spans="1:18">
      <x:c r="A93" s="8" t="s"/>
      <x:c r="B93" s="9" t="s">
        <x:v>618</x:v>
      </x:c>
      <x:c r="C93" s="9" t="s"/>
      <x:c r="K93" s="46" t="n">
        <x:v>3</x:v>
      </x:c>
      <x:c r="R93" s="10" t="n">
        <x:v>3</x:v>
      </x:c>
    </x:row>
    <x:row r="94" spans="1:18">
      <x:c r="A94" s="8" t="s"/>
      <x:c r="B94" s="9" t="s">
        <x:v>619</x:v>
      </x:c>
      <x:c r="C94" s="9" t="s"/>
      <x:c r="F94" s="46" t="n">
        <x:v>13</x:v>
      </x:c>
      <x:c r="R94" s="10" t="n">
        <x:v>13</x:v>
      </x:c>
    </x:row>
    <x:row r="95" spans="1:18">
      <x:c r="A95" s="8" t="s"/>
      <x:c r="B95" s="9" t="s">
        <x:v>620</x:v>
      </x:c>
      <x:c r="C95" s="9" t="s"/>
      <x:c r="H95" s="46" t="n">
        <x:v>53</x:v>
      </x:c>
      <x:c r="R95" s="10" t="n">
        <x:v>53</x:v>
      </x:c>
    </x:row>
    <x:row r="96" spans="1:18">
      <x:c r="A96" s="8" t="s"/>
      <x:c r="B96" s="9" t="s">
        <x:v>621</x:v>
      </x:c>
      <x:c r="C96" s="9" t="s"/>
      <x:c r="Q96" s="46" t="n">
        <x:v>3</x:v>
      </x:c>
      <x:c r="R96" s="10" t="n">
        <x:v>3</x:v>
      </x:c>
    </x:row>
    <x:row r="97" spans="1:18">
      <x:c r="A97" s="8" t="s"/>
      <x:c r="B97" s="9" t="s">
        <x:v>622</x:v>
      </x:c>
      <x:c r="C97" s="9" t="s"/>
      <x:c r="F97" s="46" t="n">
        <x:v>3</x:v>
      </x:c>
      <x:c r="R97" s="10" t="n">
        <x:v>3</x:v>
      </x:c>
    </x:row>
    <x:row r="98" spans="1:18">
      <x:c r="A98" s="8" t="s"/>
      <x:c r="B98" s="9" t="s">
        <x:v>623</x:v>
      </x:c>
      <x:c r="C98" s="9" t="s"/>
      <x:c r="D98" s="46" t="n">
        <x:v>2</x:v>
      </x:c>
      <x:c r="R98" s="10" t="n">
        <x:v>2</x:v>
      </x:c>
    </x:row>
    <x:row r="99" spans="1:18">
      <x:c r="A99" s="8" t="s"/>
      <x:c r="B99" s="9" t="s">
        <x:v>624</x:v>
      </x:c>
      <x:c r="C99" s="9" t="n">
        <x:v>1</x:v>
      </x:c>
      <x:c r="R99" s="10" t="n">
        <x:v>1</x:v>
      </x:c>
    </x:row>
    <x:row r="100" spans="1:18">
      <x:c r="A100" s="8" t="s"/>
      <x:c r="B100" s="9" t="s">
        <x:v>625</x:v>
      </x:c>
      <x:c r="C100" s="9" t="s"/>
      <x:c r="H100" s="46" t="n">
        <x:v>38</x:v>
      </x:c>
      <x:c r="J100" s="46" t="n">
        <x:v>5</x:v>
      </x:c>
      <x:c r="R100" s="10" t="n">
        <x:v>43</x:v>
      </x:c>
    </x:row>
    <x:row r="101" spans="1:18">
      <x:c r="A101" s="8" t="s"/>
      <x:c r="B101" s="9" t="s">
        <x:v>626</x:v>
      </x:c>
      <x:c r="C101" s="9" t="s"/>
      <x:c r="J101" s="46" t="n">
        <x:v>2</x:v>
      </x:c>
      <x:c r="P101" s="46" t="n">
        <x:v>92</x:v>
      </x:c>
      <x:c r="R101" s="10" t="n">
        <x:v>94</x:v>
      </x:c>
    </x:row>
    <x:row r="102" spans="1:18">
      <x:c r="A102" s="8" t="s"/>
      <x:c r="B102" s="9" t="s">
        <x:v>627</x:v>
      </x:c>
      <x:c r="C102" s="9" t="s"/>
      <x:c r="H102" s="46" t="n">
        <x:v>130</x:v>
      </x:c>
      <x:c r="J102" s="46" t="n">
        <x:v>81</x:v>
      </x:c>
      <x:c r="P102" s="46" t="n">
        <x:v>10</x:v>
      </x:c>
      <x:c r="R102" s="10" t="n">
        <x:v>221</x:v>
      </x:c>
    </x:row>
    <x:row r="103" spans="1:18">
      <x:c r="A103" s="8" t="s"/>
      <x:c r="B103" s="47" t="s">
        <x:v>628</x:v>
      </x:c>
      <x:c r="C103" s="9" t="s"/>
      <x:c r="D103" s="46" t="n">
        <x:v>2</x:v>
      </x:c>
      <x:c r="F103" s="46" t="n">
        <x:v>4</x:v>
      </x:c>
      <x:c r="M103" s="46" t="n">
        <x:v>2</x:v>
      </x:c>
      <x:c r="R103" s="10" t="n">
        <x:v>8</x:v>
      </x:c>
    </x:row>
    <x:row r="104" spans="1:18">
      <x:c r="A104" s="8" t="s"/>
      <x:c r="B104" s="9" t="s">
        <x:v>629</x:v>
      </x:c>
      <x:c r="C104" s="9" t="s"/>
      <x:c r="H104" s="46" t="n">
        <x:v>22</x:v>
      </x:c>
      <x:c r="I104" s="46" t="n">
        <x:v>9</x:v>
      </x:c>
      <x:c r="J104" s="46" t="n">
        <x:v>3</x:v>
      </x:c>
      <x:c r="P104" s="46" t="n">
        <x:v>3.5</x:v>
      </x:c>
      <x:c r="R104" s="10" t="n">
        <x:v>37.5</x:v>
      </x:c>
    </x:row>
    <x:row r="105" spans="1:18">
      <x:c r="A105" s="8" t="s"/>
      <x:c r="B105" s="9" t="s">
        <x:v>630</x:v>
      </x:c>
      <x:c r="C105" s="9" t="s"/>
      <x:c r="H105" s="46" t="n">
        <x:v>4</x:v>
      </x:c>
      <x:c r="I105" s="46" t="n">
        <x:v>4</x:v>
      </x:c>
      <x:c r="J105" s="46" t="n">
        <x:v>5</x:v>
      </x:c>
      <x:c r="K105" s="46" t="n">
        <x:v>4</x:v>
      </x:c>
      <x:c r="R105" s="10" t="n">
        <x:v>17</x:v>
      </x:c>
    </x:row>
    <x:row r="106" spans="1:18">
      <x:c r="A106" s="8" t="s"/>
      <x:c r="B106" s="9" t="s">
        <x:v>631</x:v>
      </x:c>
      <x:c r="C106" s="9" t="s"/>
      <x:c r="N106" s="46" t="n">
        <x:v>0.5</x:v>
      </x:c>
      <x:c r="R106" s="10" t="n">
        <x:v>0.5</x:v>
      </x:c>
    </x:row>
    <x:row r="107" spans="1:18">
      <x:c r="A107" s="8" t="s"/>
      <x:c r="B107" s="9" t="s">
        <x:v>632</x:v>
      </x:c>
      <x:c r="C107" s="9" t="n">
        <x:v>26</x:v>
      </x:c>
      <x:c r="R107" s="10" t="n">
        <x:v>26</x:v>
      </x:c>
    </x:row>
    <x:row r="108" spans="1:18">
      <x:c r="A108" s="8" t="s"/>
      <x:c r="B108" s="9" t="s">
        <x:v>633</x:v>
      </x:c>
      <x:c r="C108" s="9" t="s"/>
      <x:c r="Q108" s="46" t="n">
        <x:v>2</x:v>
      </x:c>
      <x:c r="R108" s="10" t="n">
        <x:v>2</x:v>
      </x:c>
    </x:row>
    <x:row r="109" spans="1:18">
      <x:c r="A109" s="8" t="s"/>
      <x:c r="B109" s="9" t="s">
        <x:v>634</x:v>
      </x:c>
      <x:c r="C109" s="9" t="n">
        <x:v>132</x:v>
      </x:c>
      <x:c r="R109" s="10" t="n">
        <x:v>132</x:v>
      </x:c>
    </x:row>
    <x:row r="110" spans="1:18">
      <x:c r="A110" s="8" t="s"/>
      <x:c r="B110" s="9" t="s">
        <x:v>635</x:v>
      </x:c>
      <x:c r="C110" s="9" t="s"/>
      <x:c r="Q110" s="46" t="n">
        <x:v>1</x:v>
      </x:c>
      <x:c r="R110" s="10" t="n">
        <x:v>1</x:v>
      </x:c>
    </x:row>
    <x:row r="111" spans="1:18">
      <x:c r="A111" s="8" t="s"/>
      <x:c r="B111" s="9" t="s">
        <x:v>636</x:v>
      </x:c>
      <x:c r="C111" s="9" t="s"/>
      <x:c r="Q111" s="46" t="n">
        <x:v>3</x:v>
      </x:c>
      <x:c r="R111" s="10" t="n">
        <x:v>3</x:v>
      </x:c>
    </x:row>
    <x:row r="112" spans="1:18">
      <x:c r="A112" s="8" t="s"/>
      <x:c r="B112" s="9" t="s">
        <x:v>637</x:v>
      </x:c>
      <x:c r="C112" s="9" t="n">
        <x:v>13</x:v>
      </x:c>
      <x:c r="R112" s="10" t="n">
        <x:v>13</x:v>
      </x:c>
    </x:row>
    <x:row r="113" spans="1:18">
      <x:c r="A113" s="8" t="s"/>
      <x:c r="B113" s="9" t="s">
        <x:v>638</x:v>
      </x:c>
      <x:c r="C113" s="9" t="s"/>
      <x:c r="P113" s="46" t="n">
        <x:v>11</x:v>
      </x:c>
      <x:c r="R113" s="10" t="n">
        <x:v>11</x:v>
      </x:c>
    </x:row>
    <x:row r="114" spans="1:18">
      <x:c r="A114" s="8" t="s"/>
      <x:c r="B114" s="9" t="s">
        <x:v>639</x:v>
      </x:c>
      <x:c r="C114" s="9" t="n">
        <x:v>20</x:v>
      </x:c>
      <x:c r="H114" s="46" t="n">
        <x:v>28.3</x:v>
      </x:c>
      <x:c r="J114" s="46" t="n">
        <x:v>19</x:v>
      </x:c>
      <x:c r="L114" s="46" t="n">
        <x:v>149.5</x:v>
      </x:c>
      <x:c r="R114" s="10" t="n">
        <x:v>216.8</x:v>
      </x:c>
    </x:row>
    <x:row r="115" spans="1:18">
      <x:c r="A115" s="8" t="s"/>
      <x:c r="B115" s="9" t="s">
        <x:v>640</x:v>
      </x:c>
      <x:c r="C115" s="9" t="s"/>
      <x:c r="H115" s="46" t="n">
        <x:v>6</x:v>
      </x:c>
      <x:c r="R115" s="10" t="n">
        <x:v>6</x:v>
      </x:c>
    </x:row>
    <x:row r="116" spans="1:18">
      <x:c r="A116" s="8" t="s"/>
      <x:c r="B116" s="9" t="s">
        <x:v>641</x:v>
      </x:c>
      <x:c r="C116" s="9" t="s"/>
      <x:c r="E116" s="46" t="n">
        <x:v>3</x:v>
      </x:c>
      <x:c r="K116" s="46" t="n">
        <x:v>3</x:v>
      </x:c>
      <x:c r="R116" s="10" t="n">
        <x:v>6</x:v>
      </x:c>
    </x:row>
    <x:row r="117" spans="1:18">
      <x:c r="A117" s="8" t="s"/>
      <x:c r="B117" s="9" t="s">
        <x:v>642</x:v>
      </x:c>
      <x:c r="C117" s="9" t="s"/>
      <x:c r="M117" s="46" t="n">
        <x:v>1</x:v>
      </x:c>
      <x:c r="R117" s="10" t="n">
        <x:v>1</x:v>
      </x:c>
    </x:row>
    <x:row r="118" spans="1:18">
      <x:c r="A118" s="8" t="s"/>
      <x:c r="B118" s="9" t="s">
        <x:v>643</x:v>
      </x:c>
      <x:c r="C118" s="9" t="s"/>
      <x:c r="H118" s="46" t="n">
        <x:v>37</x:v>
      </x:c>
      <x:c r="J118" s="46" t="n">
        <x:v>2</x:v>
      </x:c>
      <x:c r="R118" s="10" t="n">
        <x:v>39</x:v>
      </x:c>
    </x:row>
    <x:row r="119" spans="1:18">
      <x:c r="A119" s="8" t="s"/>
      <x:c r="B119" s="9" t="s">
        <x:v>644</x:v>
      </x:c>
      <x:c r="C119" s="9" t="s"/>
      <x:c r="H119" s="46" t="n">
        <x:v>40.6</x:v>
      </x:c>
      <x:c r="J119" s="46" t="n">
        <x:v>3</x:v>
      </x:c>
      <x:c r="M119" s="46" t="n">
        <x:v>6</x:v>
      </x:c>
      <x:c r="R119" s="10" t="n">
        <x:v>49.6</x:v>
      </x:c>
    </x:row>
    <x:row r="120" spans="1:18">
      <x:c r="A120" s="8" t="s"/>
      <x:c r="B120" s="9" t="s">
        <x:v>645</x:v>
      </x:c>
      <x:c r="C120" s="9" t="s"/>
      <x:c r="H120" s="46" t="n">
        <x:v>30</x:v>
      </x:c>
      <x:c r="J120" s="46" t="n">
        <x:v>16</x:v>
      </x:c>
      <x:c r="L120" s="46" t="n">
        <x:v>12</x:v>
      </x:c>
      <x:c r="R120" s="10" t="n">
        <x:v>58</x:v>
      </x:c>
    </x:row>
    <x:row r="121" spans="1:18">
      <x:c r="A121" s="8" t="s"/>
      <x:c r="B121" s="9" t="s">
        <x:v>646</x:v>
      </x:c>
      <x:c r="C121" s="9" t="s"/>
      <x:c r="L121" s="46" t="n">
        <x:v>6</x:v>
      </x:c>
      <x:c r="P121" s="46" t="n">
        <x:v>5</x:v>
      </x:c>
      <x:c r="R121" s="10" t="n">
        <x:v>11</x:v>
      </x:c>
    </x:row>
    <x:row r="122" spans="1:18">
      <x:c r="A122" s="8" t="s"/>
      <x:c r="B122" s="9" t="s">
        <x:v>489</x:v>
      </x:c>
      <x:c r="C122" s="9" t="s"/>
      <x:c r="H122" s="46" t="n">
        <x:v>2</x:v>
      </x:c>
      <x:c r="R122" s="10" t="n">
        <x:v>2</x:v>
      </x:c>
    </x:row>
    <x:row r="123" spans="1:18">
      <x:c r="A123" s="8" t="s"/>
      <x:c r="B123" s="9" t="s">
        <x:v>647</x:v>
      </x:c>
      <x:c r="C123" s="9" t="s"/>
      <x:c r="Q123" s="46" t="n">
        <x:v>1</x:v>
      </x:c>
      <x:c r="R123" s="10" t="n">
        <x:v>1</x:v>
      </x:c>
    </x:row>
    <x:row r="124" spans="1:18">
      <x:c r="A124" s="8" t="s"/>
      <x:c r="B124" s="9" t="s">
        <x:v>648</x:v>
      </x:c>
      <x:c r="C124" s="9" t="s"/>
      <x:c r="E124" s="46" t="n">
        <x:v>1</x:v>
      </x:c>
      <x:c r="N124" s="46" t="n">
        <x:v>0.5</x:v>
      </x:c>
      <x:c r="R124" s="10" t="n">
        <x:v>1.5</x:v>
      </x:c>
    </x:row>
    <x:row r="125" spans="1:18">
      <x:c r="A125" s="8" t="s"/>
      <x:c r="B125" s="9" t="s">
        <x:v>649</x:v>
      </x:c>
      <x:c r="C125" s="9" t="n">
        <x:v>1</x:v>
      </x:c>
      <x:c r="R125" s="10" t="n">
        <x:v>1</x:v>
      </x:c>
    </x:row>
    <x:row r="126" spans="1:18">
      <x:c r="A126" s="8" t="s"/>
      <x:c r="B126" s="9" t="s">
        <x:v>650</x:v>
      </x:c>
      <x:c r="C126" s="9" t="s"/>
      <x:c r="N126" s="46" t="n">
        <x:v>1</x:v>
      </x:c>
      <x:c r="R126" s="10" t="n">
        <x:v>1</x:v>
      </x:c>
    </x:row>
    <x:row r="127" spans="1:18">
      <x:c r="A127" s="8" t="s"/>
      <x:c r="B127" s="9" t="s">
        <x:v>651</x:v>
      </x:c>
      <x:c r="C127" s="9" t="s"/>
      <x:c r="F127" s="46" t="n">
        <x:v>6</x:v>
      </x:c>
      <x:c r="R127" s="10" t="n">
        <x:v>6</x:v>
      </x:c>
    </x:row>
    <x:row r="128" spans="1:18">
      <x:c r="A128" s="8" t="s"/>
      <x:c r="B128" s="9" t="s">
        <x:v>652</x:v>
      </x:c>
      <x:c r="C128" s="9" t="s"/>
      <x:c r="Q128" s="46" t="n">
        <x:v>2</x:v>
      </x:c>
      <x:c r="R128" s="10" t="n">
        <x:v>2</x:v>
      </x:c>
    </x:row>
    <x:row r="129" spans="1:18">
      <x:c r="A129" s="8" t="s"/>
      <x:c r="B129" s="9" t="s">
        <x:v>653</x:v>
      </x:c>
      <x:c r="C129" s="9" t="s"/>
      <x:c r="F129" s="46" t="n">
        <x:v>16</x:v>
      </x:c>
      <x:c r="Q129" s="46" t="n">
        <x:v>3</x:v>
      </x:c>
      <x:c r="R129" s="10" t="n">
        <x:v>19</x:v>
      </x:c>
    </x:row>
    <x:row r="130" spans="1:18">
      <x:c r="A130" s="8" t="s"/>
      <x:c r="B130" s="9" t="s">
        <x:v>654</x:v>
      </x:c>
      <x:c r="C130" s="9" t="s"/>
      <x:c r="H130" s="46" t="n">
        <x:v>4</x:v>
      </x:c>
      <x:c r="Q130" s="46" t="n">
        <x:v>4</x:v>
      </x:c>
      <x:c r="R130" s="10" t="n">
        <x:v>8</x:v>
      </x:c>
    </x:row>
    <x:row r="131" spans="1:18">
      <x:c r="A131" s="8" t="s"/>
      <x:c r="B131" s="9" t="s">
        <x:v>655</x:v>
      </x:c>
      <x:c r="C131" s="9" t="s"/>
      <x:c r="Q131" s="46" t="n">
        <x:v>7</x:v>
      </x:c>
      <x:c r="R131" s="10" t="n">
        <x:v>7</x:v>
      </x:c>
    </x:row>
    <x:row r="132" spans="1:18">
      <x:c r="A132" s="8" t="s"/>
      <x:c r="B132" s="9" t="s">
        <x:v>656</x:v>
      </x:c>
      <x:c r="C132" s="9" t="s"/>
      <x:c r="H132" s="46" t="n">
        <x:v>1</x:v>
      </x:c>
      <x:c r="R132" s="10" t="n">
        <x:v>1</x:v>
      </x:c>
    </x:row>
    <x:row r="133" spans="1:18">
      <x:c r="A133" s="8" t="s"/>
      <x:c r="B133" s="9" t="s">
        <x:v>657</x:v>
      </x:c>
      <x:c r="C133" s="9" t="n">
        <x:v>1</x:v>
      </x:c>
      <x:c r="H133" s="46" t="n">
        <x:v>1</x:v>
      </x:c>
      <x:c r="R133" s="10" t="n">
        <x:v>2</x:v>
      </x:c>
    </x:row>
    <x:row r="134" spans="1:18">
      <x:c r="A134" s="8" t="s"/>
      <x:c r="B134" s="9" t="s">
        <x:v>658</x:v>
      </x:c>
      <x:c r="C134" s="9" t="n">
        <x:v>4</x:v>
      </x:c>
      <x:c r="R134" s="10" t="n">
        <x:v>4</x:v>
      </x:c>
    </x:row>
    <x:row r="135" spans="1:18">
      <x:c r="A135" s="8" t="s"/>
      <x:c r="B135" s="9" t="s">
        <x:v>659</x:v>
      </x:c>
      <x:c r="C135" s="9" t="s"/>
      <x:c r="H135" s="46" t="n">
        <x:v>6</x:v>
      </x:c>
      <x:c r="R135" s="10" t="n">
        <x:v>6</x:v>
      </x:c>
    </x:row>
    <x:row r="136" spans="1:18">
      <x:c r="A136" s="8" t="s"/>
      <x:c r="B136" s="9" t="s">
        <x:v>660</x:v>
      </x:c>
      <x:c r="C136" s="9" t="s"/>
      <x:c r="H136" s="46" t="n">
        <x:v>7</x:v>
      </x:c>
      <x:c r="I136" s="46" t="n">
        <x:v>1</x:v>
      </x:c>
      <x:c r="R136" s="10" t="n">
        <x:v>8</x:v>
      </x:c>
    </x:row>
    <x:row r="137" spans="1:18">
      <x:c r="A137" s="8" t="s"/>
      <x:c r="B137" s="9" t="s">
        <x:v>661</x:v>
      </x:c>
      <x:c r="C137" s="9" t="s"/>
      <x:c r="M137" s="46" t="n">
        <x:v>3</x:v>
      </x:c>
      <x:c r="R137" s="10" t="n">
        <x:v>3</x:v>
      </x:c>
    </x:row>
    <x:row r="138" spans="1:18">
      <x:c r="A138" s="8" t="s"/>
      <x:c r="B138" s="9" t="s">
        <x:v>662</x:v>
      </x:c>
      <x:c r="C138" s="9" t="s"/>
      <x:c r="J138" s="46" t="n">
        <x:v>1</x:v>
      </x:c>
      <x:c r="R138" s="10" t="n">
        <x:v>1</x:v>
      </x:c>
    </x:row>
    <x:row r="139" spans="1:18">
      <x:c r="A139" s="8" t="s"/>
      <x:c r="B139" s="9" t="s">
        <x:v>663</x:v>
      </x:c>
      <x:c r="C139" s="9" t="s"/>
      <x:c r="H139" s="46" t="n">
        <x:v>3</x:v>
      </x:c>
      <x:c r="R139" s="10" t="n">
        <x:v>3</x:v>
      </x:c>
    </x:row>
    <x:row r="140" spans="1:18">
      <x:c r="A140" s="8" t="s"/>
      <x:c r="B140" s="9" t="s">
        <x:v>664</x:v>
      </x:c>
      <x:c r="C140" s="9" t="n">
        <x:v>4</x:v>
      </x:c>
      <x:c r="R140" s="10" t="n">
        <x:v>4</x:v>
      </x:c>
    </x:row>
    <x:row r="141" spans="1:18">
      <x:c r="A141" s="8" t="s"/>
      <x:c r="B141" s="9" t="s">
        <x:v>665</x:v>
      </x:c>
      <x:c r="C141" s="9" t="s"/>
      <x:c r="M141" s="46" t="n">
        <x:v>6</x:v>
      </x:c>
      <x:c r="R141" s="10" t="n">
        <x:v>6</x:v>
      </x:c>
    </x:row>
    <x:row r="142" spans="1:18">
      <x:c r="A142" s="8" t="s"/>
      <x:c r="B142" s="9" t="s">
        <x:v>666</x:v>
      </x:c>
      <x:c r="C142" s="9" t="s"/>
      <x:c r="H142" s="46" t="n">
        <x:v>4</x:v>
      </x:c>
      <x:c r="M142" s="46" t="n">
        <x:v>7</x:v>
      </x:c>
      <x:c r="R142" s="10" t="n">
        <x:v>11</x:v>
      </x:c>
    </x:row>
    <x:row r="143" spans="1:18">
      <x:c r="A143" s="8" t="s"/>
      <x:c r="B143" s="9" t="s">
        <x:v>667</x:v>
      </x:c>
      <x:c r="C143" s="9" t="s"/>
      <x:c r="D143" s="46" t="n">
        <x:v>15</x:v>
      </x:c>
      <x:c r="R143" s="10" t="n">
        <x:v>15</x:v>
      </x:c>
    </x:row>
    <x:row r="144" spans="1:18">
      <x:c r="A144" s="8" t="s"/>
      <x:c r="B144" s="9" t="s">
        <x:v>668</x:v>
      </x:c>
      <x:c r="C144" s="9" t="s"/>
      <x:c r="D144" s="46" t="n">
        <x:v>9</x:v>
      </x:c>
      <x:c r="R144" s="10" t="n">
        <x:v>9</x:v>
      </x:c>
    </x:row>
    <x:row r="145" spans="1:18">
      <x:c r="A145" s="8" t="s"/>
      <x:c r="B145" s="9" t="s">
        <x:v>669</x:v>
      </x:c>
      <x:c r="C145" s="9" t="s"/>
      <x:c r="D145" s="46" t="n">
        <x:v>5</x:v>
      </x:c>
      <x:c r="R145" s="10" t="n">
        <x:v>5</x:v>
      </x:c>
    </x:row>
    <x:row r="146" spans="1:18">
      <x:c r="A146" s="8" t="s"/>
      <x:c r="B146" s="47" t="s">
        <x:v>670</x:v>
      </x:c>
      <x:c r="C146" s="9" t="s"/>
      <x:c r="D146" s="46" t="n">
        <x:v>45</x:v>
      </x:c>
      <x:c r="F146" s="46" t="n">
        <x:v>57</x:v>
      </x:c>
      <x:c r="R146" s="10" t="n">
        <x:v>102</x:v>
      </x:c>
    </x:row>
    <x:row r="147" spans="1:18">
      <x:c r="A147" s="8" t="s"/>
      <x:c r="B147" s="9" t="s">
        <x:v>671</x:v>
      </x:c>
      <x:c r="C147" s="9" t="s"/>
      <x:c r="Q147" s="46" t="n">
        <x:v>45</x:v>
      </x:c>
      <x:c r="R147" s="10" t="n">
        <x:v>45</x:v>
      </x:c>
    </x:row>
    <x:row r="148" spans="1:18">
      <x:c r="A148" s="8" t="s"/>
      <x:c r="B148" s="9" t="s">
        <x:v>672</x:v>
      </x:c>
      <x:c r="C148" s="9" t="s"/>
      <x:c r="G148" s="46" t="n">
        <x:v>14</x:v>
      </x:c>
      <x:c r="Q148" s="46" t="n">
        <x:v>36</x:v>
      </x:c>
      <x:c r="R148" s="10" t="n">
        <x:v>50</x:v>
      </x:c>
    </x:row>
    <x:row r="149" spans="1:18">
      <x:c r="A149" s="8" t="s"/>
      <x:c r="B149" s="9" t="s">
        <x:v>673</x:v>
      </x:c>
      <x:c r="C149" s="9" t="s"/>
      <x:c r="H149" s="46" t="n">
        <x:v>10</x:v>
      </x:c>
      <x:c r="R149" s="10" t="n">
        <x:v>10</x:v>
      </x:c>
    </x:row>
    <x:row r="150" spans="1:18">
      <x:c r="A150" s="8" t="s"/>
      <x:c r="B150" s="9" t="s">
        <x:v>674</x:v>
      </x:c>
      <x:c r="C150" s="9" t="s"/>
      <x:c r="F150" s="46" t="n">
        <x:v>28</x:v>
      </x:c>
      <x:c r="Q150" s="46" t="n">
        <x:v>9</x:v>
      </x:c>
      <x:c r="R150" s="10" t="n">
        <x:v>37</x:v>
      </x:c>
    </x:row>
    <x:row r="151" spans="1:18">
      <x:c r="A151" s="8" t="s"/>
      <x:c r="B151" s="9" t="s">
        <x:v>675</x:v>
      </x:c>
      <x:c r="C151" s="9" t="s"/>
      <x:c r="Q151" s="46" t="n">
        <x:v>20</x:v>
      </x:c>
      <x:c r="R151" s="10" t="n">
        <x:v>20</x:v>
      </x:c>
    </x:row>
    <x:row r="152" spans="1:18">
      <x:c r="A152" s="8" t="s"/>
      <x:c r="B152" s="9" t="s">
        <x:v>676</x:v>
      </x:c>
      <x:c r="C152" s="9" t="s"/>
      <x:c r="H152" s="46" t="n">
        <x:v>8</x:v>
      </x:c>
      <x:c r="Q152" s="46" t="n">
        <x:v>15</x:v>
      </x:c>
      <x:c r="R152" s="10" t="n">
        <x:v>23</x:v>
      </x:c>
    </x:row>
    <x:row r="153" spans="1:18">
      <x:c r="A153" s="8" t="s"/>
      <x:c r="B153" s="9" t="s">
        <x:v>677</x:v>
      </x:c>
      <x:c r="C153" s="9" t="s"/>
      <x:c r="Q153" s="46" t="n">
        <x:v>13</x:v>
      </x:c>
      <x:c r="R153" s="10" t="n">
        <x:v>13</x:v>
      </x:c>
    </x:row>
    <x:row r="154" spans="1:18">
      <x:c r="A154" s="8" t="s"/>
      <x:c r="B154" s="15" t="s"/>
      <x:c r="C154" s="5" t="n">
        <x:v>1017.5</x:v>
      </x:c>
      <x:c r="D154" s="6" t="n">
        <x:v>95.5</x:v>
      </x:c>
      <x:c r="E154" s="6" t="n">
        <x:v>94.5</x:v>
      </x:c>
      <x:c r="F154" s="6" t="n">
        <x:v>177</x:v>
      </x:c>
      <x:c r="G154" s="6" t="n">
        <x:v>27</x:v>
      </x:c>
      <x:c r="H154" s="6" t="n">
        <x:v>1486.1</x:v>
      </x:c>
      <x:c r="I154" s="6" t="n">
        <x:v>45</x:v>
      </x:c>
      <x:c r="J154" s="6" t="n">
        <x:v>195</x:v>
      </x:c>
      <x:c r="K154" s="6" t="n">
        <x:v>65</x:v>
      </x:c>
      <x:c r="L154" s="6" t="n">
        <x:v>308.5</x:v>
      </x:c>
      <x:c r="M154" s="6" t="n">
        <x:v>120</x:v>
      </x:c>
      <x:c r="N154" s="6" t="n">
        <x:v>3</x:v>
      </x:c>
      <x:c r="O154" s="6" t="n">
        <x:v>4</x:v>
      </x:c>
      <x:c r="P154" s="6" t="n">
        <x:v>243.5</x:v>
      </x:c>
      <x:c r="Q154" s="6" t="n">
        <x:v>296</x:v>
      </x:c>
      <x:c r="R154" s="7" t="n">
        <x:v>4177.6</x:v>
      </x:c>
    </x:row>
    <x:row r="155" spans="1:18">
      <x:c r="A155" s="8" t="s"/>
      <x:c r="B155" s="5" t="s">
        <x:v>362</x:v>
      </x:c>
      <x:c r="C155" s="5" t="s"/>
      <x:c r="D155" s="6" t="s"/>
      <x:c r="E155" s="6" t="s"/>
      <x:c r="F155" s="6" t="s"/>
      <x:c r="G155" s="6" t="s"/>
      <x:c r="H155" s="6" t="s"/>
      <x:c r="I155" s="6" t="s"/>
      <x:c r="J155" s="6" t="s"/>
      <x:c r="K155" s="6" t="s"/>
      <x:c r="L155" s="6" t="s"/>
      <x:c r="M155" s="6" t="s"/>
      <x:c r="N155" s="6" t="s"/>
      <x:c r="O155" s="6" t="n">
        <x:v>2</x:v>
      </x:c>
      <x:c r="P155" s="6" t="s"/>
      <x:c r="Q155" s="6" t="s"/>
      <x:c r="R155" s="7" t="n">
        <x:v>2</x:v>
      </x:c>
    </x:row>
    <x:row r="156" spans="1:18">
      <x:c r="A156" s="8" t="s"/>
      <x:c r="B156" s="15" t="s"/>
      <x:c r="C156" s="5" t="s"/>
      <x:c r="D156" s="6" t="s"/>
      <x:c r="E156" s="6" t="s"/>
      <x:c r="F156" s="6" t="s"/>
      <x:c r="G156" s="6" t="s"/>
      <x:c r="H156" s="6" t="s"/>
      <x:c r="I156" s="6" t="s"/>
      <x:c r="J156" s="6" t="s"/>
      <x:c r="K156" s="6" t="s"/>
      <x:c r="L156" s="6" t="s"/>
      <x:c r="M156" s="6" t="s"/>
      <x:c r="N156" s="6" t="s"/>
      <x:c r="O156" s="6" t="n">
        <x:v>2</x:v>
      </x:c>
      <x:c r="P156" s="6" t="s"/>
      <x:c r="Q156" s="6" t="s"/>
      <x:c r="R156" s="7" t="n">
        <x:v>2</x:v>
      </x:c>
    </x:row>
    <x:row r="157" spans="1:18">
      <x:c r="A157" s="5" t="s">
        <x:v>678</x:v>
      </x:c>
      <x:c r="B157" s="15" t="s"/>
      <x:c r="C157" s="5" t="n">
        <x:v>1017.5</x:v>
      </x:c>
      <x:c r="D157" s="6" t="n">
        <x:v>95.5</x:v>
      </x:c>
      <x:c r="E157" s="6" t="n">
        <x:v>94.5</x:v>
      </x:c>
      <x:c r="F157" s="6" t="n">
        <x:v>177</x:v>
      </x:c>
      <x:c r="G157" s="6" t="n">
        <x:v>27</x:v>
      </x:c>
      <x:c r="H157" s="6" t="n">
        <x:v>1486.1</x:v>
      </x:c>
      <x:c r="I157" s="6" t="n">
        <x:v>45</x:v>
      </x:c>
      <x:c r="J157" s="6" t="n">
        <x:v>195</x:v>
      </x:c>
      <x:c r="K157" s="6" t="n">
        <x:v>65</x:v>
      </x:c>
      <x:c r="L157" s="6" t="n">
        <x:v>308.5</x:v>
      </x:c>
      <x:c r="M157" s="6" t="n">
        <x:v>120</x:v>
      </x:c>
      <x:c r="N157" s="6" t="n">
        <x:v>3</x:v>
      </x:c>
      <x:c r="O157" s="6" t="n">
        <x:v>6</x:v>
      </x:c>
      <x:c r="P157" s="6" t="n">
        <x:v>243.5</x:v>
      </x:c>
      <x:c r="Q157" s="6" t="n">
        <x:v>296</x:v>
      </x:c>
      <x:c r="R157" s="7" t="n">
        <x:v>4179.6</x:v>
      </x:c>
    </x:row>
    <x:row r="158" spans="1:18">
      <x:c r="A158" s="11" t="s">
        <x:v>18</x:v>
      </x:c>
      <x:c r="B158" s="12" t="s"/>
      <x:c r="C158" s="11" t="n">
        <x:v>1017.5</x:v>
      </x:c>
      <x:c r="D158" s="13" t="n">
        <x:v>95.5</x:v>
      </x:c>
      <x:c r="E158" s="13" t="n">
        <x:v>94.5</x:v>
      </x:c>
      <x:c r="F158" s="13" t="n">
        <x:v>177</x:v>
      </x:c>
      <x:c r="G158" s="13" t="n">
        <x:v>27</x:v>
      </x:c>
      <x:c r="H158" s="13" t="n">
        <x:v>1486.1</x:v>
      </x:c>
      <x:c r="I158" s="13" t="n">
        <x:v>45</x:v>
      </x:c>
      <x:c r="J158" s="13" t="n">
        <x:v>195</x:v>
      </x:c>
      <x:c r="K158" s="13" t="n">
        <x:v>65</x:v>
      </x:c>
      <x:c r="L158" s="13" t="n">
        <x:v>308.5</x:v>
      </x:c>
      <x:c r="M158" s="13" t="n">
        <x:v>120</x:v>
      </x:c>
      <x:c r="N158" s="13" t="n">
        <x:v>3</x:v>
      </x:c>
      <x:c r="O158" s="13" t="n">
        <x:v>6</x:v>
      </x:c>
      <x:c r="P158" s="13" t="n">
        <x:v>243.5</x:v>
      </x:c>
      <x:c r="Q158" s="13" t="n">
        <x:v>296</x:v>
      </x:c>
      <x:c r="R158" s="14" t="n">
        <x:v>4179.6</x:v>
      </x:c>
    </x:row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1"/>
  <x:sheetViews>
    <x:sheetView workbookViewId="0">
      <x:selection activeCell="K37" sqref="K37 K37:K37"/>
    </x:sheetView>
  </x:sheetViews>
  <x:sheetFormatPr defaultColWidth="13.561875" defaultRowHeight="15"/>
  <x:cols>
    <x:col min="1" max="1" width="9.285156" style="46" customWidth="1"/>
    <x:col min="2" max="2" width="44.710938" style="46" customWidth="1"/>
  </x:cols>
  <x:sheetData>
    <x:row r="1" spans="1:19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5" t="s">
        <x:v>679</x:v>
      </x:c>
      <x:c r="B2" s="5" t="s">
        <x:v>680</x:v>
      </x:c>
      <x:c r="C2" s="5" t="s"/>
      <x:c r="D2" s="6" t="s"/>
      <x:c r="E2" s="6" t="s"/>
      <x:c r="F2" s="6" t="s"/>
      <x:c r="G2" s="6" t="s"/>
      <x:c r="H2" s="6" t="n">
        <x:v>8</x:v>
      </x:c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7" t="n">
        <x:v>8</x:v>
      </x:c>
    </x:row>
    <x:row r="3" spans="1:19">
      <x:c r="A3" s="8" t="s"/>
      <x:c r="B3" s="47" t="s">
        <x:v>681</x:v>
      </x:c>
      <x:c r="C3" s="9" t="n">
        <x:v>117</x:v>
      </x:c>
      <x:c r="D3" s="46" t="n">
        <x:v>14</x:v>
      </x:c>
      <x:c r="E3" s="46" t="n">
        <x:v>31</x:v>
      </x:c>
      <x:c r="F3" s="46" t="n">
        <x:v>26</x:v>
      </x:c>
      <x:c r="G3" s="46" t="n">
        <x:v>99.5</x:v>
      </x:c>
      <x:c r="H3" s="46" t="n">
        <x:v>186.8</x:v>
      </x:c>
      <x:c r="I3" s="46" t="n">
        <x:v>12</x:v>
      </x:c>
      <x:c r="J3" s="46" t="n">
        <x:v>12</x:v>
      </x:c>
      <x:c r="K3" s="46" t="n">
        <x:v>13</x:v>
      </x:c>
      <x:c r="L3" s="46" t="n">
        <x:v>0.5</x:v>
      </x:c>
      <x:c r="N3" s="46" t="n">
        <x:v>5.5</x:v>
      </x:c>
      <x:c r="O3" s="46" t="n">
        <x:v>21</x:v>
      </x:c>
      <x:c r="R3" s="46" t="n">
        <x:v>49</x:v>
      </x:c>
      <x:c r="S3" s="10" t="n">
        <x:v>587.3</x:v>
      </x:c>
    </x:row>
    <x:row r="4" spans="1:19">
      <x:c r="A4" s="8" t="s"/>
      <x:c r="B4" s="9" t="s">
        <x:v>682</x:v>
      </x:c>
      <x:c r="C4" s="9" t="s"/>
      <x:c r="D4" s="46" t="n">
        <x:v>1</x:v>
      </x:c>
      <x:c r="S4" s="10" t="n">
        <x:v>1</x:v>
      </x:c>
    </x:row>
    <x:row r="5" spans="1:19">
      <x:c r="A5" s="8" t="s"/>
      <x:c r="B5" s="9" t="s">
        <x:v>683</x:v>
      </x:c>
      <x:c r="C5" s="9" t="s"/>
      <x:c r="H5" s="46" t="n">
        <x:v>1</x:v>
      </x:c>
      <x:c r="S5" s="10" t="n">
        <x:v>1</x:v>
      </x:c>
    </x:row>
    <x:row r="6" spans="1:19">
      <x:c r="A6" s="8" t="s"/>
      <x:c r="B6" s="9" t="s">
        <x:v>684</x:v>
      </x:c>
      <x:c r="C6" s="9" t="s"/>
      <x:c r="I6" s="46" t="n">
        <x:v>1</x:v>
      </x:c>
      <x:c r="S6" s="10" t="n">
        <x:v>1</x:v>
      </x:c>
    </x:row>
    <x:row r="7" spans="1:19">
      <x:c r="A7" s="8" t="s"/>
      <x:c r="B7" s="9" t="s">
        <x:v>685</x:v>
      </x:c>
      <x:c r="C7" s="9" t="s"/>
      <x:c r="R7" s="46" t="n">
        <x:v>1</x:v>
      </x:c>
      <x:c r="S7" s="10" t="n">
        <x:v>1</x:v>
      </x:c>
    </x:row>
    <x:row r="8" spans="1:19">
      <x:c r="A8" s="8" t="s"/>
      <x:c r="B8" s="9" t="s">
        <x:v>686</x:v>
      </x:c>
      <x:c r="C8" s="9" t="s"/>
      <x:c r="N8" s="46" t="n">
        <x:v>1</x:v>
      </x:c>
      <x:c r="S8" s="10" t="n">
        <x:v>1</x:v>
      </x:c>
    </x:row>
    <x:row r="9" spans="1:19">
      <x:c r="A9" s="8" t="s"/>
      <x:c r="B9" s="9" t="s">
        <x:v>687</x:v>
      </x:c>
      <x:c r="C9" s="9" t="s"/>
      <x:c r="H9" s="46" t="n">
        <x:v>13</x:v>
      </x:c>
      <x:c r="P9" s="46" t="n">
        <x:v>31.7</x:v>
      </x:c>
      <x:c r="R9" s="46" t="n">
        <x:v>9</x:v>
      </x:c>
      <x:c r="S9" s="10" t="n">
        <x:v>53.7</x:v>
      </x:c>
    </x:row>
    <x:row r="10" spans="1:19">
      <x:c r="A10" s="8" t="s"/>
      <x:c r="B10" s="9" t="s">
        <x:v>688</x:v>
      </x:c>
      <x:c r="C10" s="9" t="s"/>
      <x:c r="P10" s="46" t="n">
        <x:v>1</x:v>
      </x:c>
      <x:c r="S10" s="10" t="n">
        <x:v>1</x:v>
      </x:c>
    </x:row>
    <x:row r="11" spans="1:19">
      <x:c r="A11" s="8" t="s"/>
      <x:c r="B11" s="47" t="s">
        <x:v>689</x:v>
      </x:c>
      <x:c r="C11" s="9" t="s"/>
      <x:c r="G11" s="46" t="n">
        <x:v>18</x:v>
      </x:c>
      <x:c r="M11" s="46" t="n">
        <x:v>2</x:v>
      </x:c>
      <x:c r="S11" s="10" t="n">
        <x:v>20</x:v>
      </x:c>
    </x:row>
    <x:row r="12" spans="1:19">
      <x:c r="A12" s="8" t="s"/>
      <x:c r="B12" s="9" t="s">
        <x:v>690</x:v>
      </x:c>
      <x:c r="C12" s="9" t="n">
        <x:v>5</x:v>
      </x:c>
      <x:c r="H12" s="46" t="n">
        <x:v>5</x:v>
      </x:c>
      <x:c r="S12" s="10" t="n">
        <x:v>10</x:v>
      </x:c>
    </x:row>
    <x:row r="13" spans="1:19">
      <x:c r="A13" s="8" t="s"/>
      <x:c r="B13" s="9" t="s">
        <x:v>691</x:v>
      </x:c>
      <x:c r="C13" s="9" t="s"/>
      <x:c r="R13" s="46" t="n">
        <x:v>2</x:v>
      </x:c>
      <x:c r="S13" s="10" t="n">
        <x:v>2</x:v>
      </x:c>
    </x:row>
    <x:row r="14" spans="1:19">
      <x:c r="A14" s="8" t="s"/>
      <x:c r="B14" s="9" t="s">
        <x:v>692</x:v>
      </x:c>
      <x:c r="C14" s="9" t="s"/>
      <x:c r="G14" s="46" t="n">
        <x:v>4</x:v>
      </x:c>
      <x:c r="S14" s="10" t="n">
        <x:v>4</x:v>
      </x:c>
    </x:row>
    <x:row r="15" spans="1:19">
      <x:c r="A15" s="8" t="s"/>
      <x:c r="B15" s="9" t="s">
        <x:v>693</x:v>
      </x:c>
      <x:c r="C15" s="9" t="n">
        <x:v>2</x:v>
      </x:c>
      <x:c r="S15" s="10" t="n">
        <x:v>2</x:v>
      </x:c>
    </x:row>
    <x:row r="16" spans="1:19">
      <x:c r="A16" s="8" t="s"/>
      <x:c r="B16" s="9" t="s">
        <x:v>694</x:v>
      </x:c>
      <x:c r="C16" s="9" t="s"/>
      <x:c r="H16" s="46" t="n">
        <x:v>2</x:v>
      </x:c>
      <x:c r="S16" s="10" t="n">
        <x:v>2</x:v>
      </x:c>
    </x:row>
    <x:row r="17" spans="1:19">
      <x:c r="A17" s="8" t="s"/>
      <x:c r="B17" s="47" t="s">
        <x:v>695</x:v>
      </x:c>
      <x:c r="C17" s="9" t="s"/>
      <x:c r="F17" s="46" t="n">
        <x:v>6</x:v>
      </x:c>
      <x:c r="S17" s="10" t="n">
        <x:v>6</x:v>
      </x:c>
    </x:row>
    <x:row r="18" spans="1:19">
      <x:c r="A18" s="8" t="s"/>
      <x:c r="B18" s="9" t="s">
        <x:v>696</x:v>
      </x:c>
      <x:c r="C18" s="9" t="n">
        <x:v>26</x:v>
      </x:c>
      <x:c r="H18" s="46" t="n">
        <x:v>49</x:v>
      </x:c>
      <x:c r="I18" s="46" t="n">
        <x:v>2</x:v>
      </x:c>
      <x:c r="K18" s="46" t="n">
        <x:v>2</x:v>
      </x:c>
      <x:c r="L18" s="46" t="n">
        <x:v>1</x:v>
      </x:c>
      <x:c r="M18" s="46" t="n">
        <x:v>5</x:v>
      </x:c>
      <x:c r="P18" s="46" t="n">
        <x:v>4</x:v>
      </x:c>
      <x:c r="R18" s="46" t="n">
        <x:v>6</x:v>
      </x:c>
      <x:c r="S18" s="10" t="n">
        <x:v>95</x:v>
      </x:c>
    </x:row>
    <x:row r="19" spans="1:19">
      <x:c r="A19" s="8" t="s"/>
      <x:c r="B19" s="9" t="s">
        <x:v>697</x:v>
      </x:c>
      <x:c r="C19" s="9" t="n">
        <x:v>6</x:v>
      </x:c>
      <x:c r="S19" s="10" t="n">
        <x:v>6</x:v>
      </x:c>
    </x:row>
    <x:row r="20" spans="1:19">
      <x:c r="A20" s="8" t="s"/>
      <x:c r="B20" s="9" t="s">
        <x:v>698</x:v>
      </x:c>
      <x:c r="C20" s="9" t="n">
        <x:v>5</x:v>
      </x:c>
      <x:c r="L20" s="46" t="n">
        <x:v>1</x:v>
      </x:c>
      <x:c r="S20" s="10" t="n">
        <x:v>6</x:v>
      </x:c>
    </x:row>
    <x:row r="21" spans="1:19">
      <x:c r="A21" s="8" t="s"/>
      <x:c r="B21" s="9" t="s">
        <x:v>699</x:v>
      </x:c>
      <x:c r="C21" s="9" t="n">
        <x:v>4</x:v>
      </x:c>
      <x:c r="D21" s="46" t="n">
        <x:v>2</x:v>
      </x:c>
      <x:c r="F21" s="46" t="n">
        <x:v>4</x:v>
      </x:c>
      <x:c r="H21" s="46" t="n">
        <x:v>7</x:v>
      </x:c>
      <x:c r="S21" s="10" t="n">
        <x:v>17</x:v>
      </x:c>
    </x:row>
    <x:row r="22" spans="1:19">
      <x:c r="A22" s="8" t="s"/>
      <x:c r="B22" s="9" t="s">
        <x:v>700</x:v>
      </x:c>
      <x:c r="C22" s="9" t="n">
        <x:v>12</x:v>
      </x:c>
      <x:c r="H22" s="46" t="n">
        <x:v>37.5</x:v>
      </x:c>
      <x:c r="I22" s="46" t="n">
        <x:v>1</x:v>
      </x:c>
      <x:c r="K22" s="46" t="n">
        <x:v>2</x:v>
      </x:c>
      <x:c r="L22" s="46" t="n">
        <x:v>2</x:v>
      </x:c>
      <x:c r="S22" s="10" t="n">
        <x:v>54.5</x:v>
      </x:c>
    </x:row>
    <x:row r="23" spans="1:19">
      <x:c r="A23" s="8" t="s"/>
      <x:c r="B23" s="9" t="s">
        <x:v>701</x:v>
      </x:c>
      <x:c r="C23" s="9" t="s"/>
      <x:c r="E23" s="46" t="n">
        <x:v>4</x:v>
      </x:c>
      <x:c r="N23" s="46" t="n">
        <x:v>5</x:v>
      </x:c>
      <x:c r="S23" s="10" t="n">
        <x:v>9</x:v>
      </x:c>
    </x:row>
    <x:row r="24" spans="1:19">
      <x:c r="A24" s="8" t="s"/>
      <x:c r="B24" s="9" t="s">
        <x:v>702</x:v>
      </x:c>
      <x:c r="C24" s="9" t="s"/>
      <x:c r="D24" s="46" t="n">
        <x:v>4</x:v>
      </x:c>
      <x:c r="G24" s="46" t="n">
        <x:v>88</x:v>
      </x:c>
      <x:c r="S24" s="10" t="n">
        <x:v>92</x:v>
      </x:c>
    </x:row>
    <x:row r="25" spans="1:19">
      <x:c r="A25" s="8" t="s"/>
      <x:c r="B25" s="9" t="s">
        <x:v>703</x:v>
      </x:c>
      <x:c r="C25" s="9" t="n">
        <x:v>11</x:v>
      </x:c>
      <x:c r="F25" s="46" t="n">
        <x:v>4</x:v>
      </x:c>
      <x:c r="H25" s="46" t="n">
        <x:v>4</x:v>
      </x:c>
      <x:c r="K25" s="46" t="n">
        <x:v>3</x:v>
      </x:c>
      <x:c r="M25" s="46" t="n">
        <x:v>1</x:v>
      </x:c>
      <x:c r="R25" s="46" t="n">
        <x:v>19</x:v>
      </x:c>
      <x:c r="S25" s="10" t="n">
        <x:v>42</x:v>
      </x:c>
    </x:row>
    <x:row r="26" spans="1:19">
      <x:c r="A26" s="8" t="s"/>
      <x:c r="B26" s="47" t="s">
        <x:v>704</x:v>
      </x:c>
      <x:c r="C26" s="9" t="s"/>
      <x:c r="D26" s="46" t="n">
        <x:v>3</x:v>
      </x:c>
      <x:c r="M26" s="46" t="n">
        <x:v>1</x:v>
      </x:c>
      <x:c r="S26" s="10" t="n">
        <x:v>4</x:v>
      </x:c>
    </x:row>
    <x:row r="27" spans="1:19">
      <x:c r="A27" s="8" t="s"/>
      <x:c r="B27" s="9" t="s">
        <x:v>705</x:v>
      </x:c>
      <x:c r="C27" s="9" t="n">
        <x:v>2</x:v>
      </x:c>
      <x:c r="Q27" s="46" t="n">
        <x:v>6.8</x:v>
      </x:c>
      <x:c r="R27" s="46" t="n">
        <x:v>1</x:v>
      </x:c>
      <x:c r="S27" s="10" t="n">
        <x:v>9.8</x:v>
      </x:c>
    </x:row>
    <x:row r="28" spans="1:19">
      <x:c r="A28" s="8" t="s"/>
      <x:c r="B28" s="9" t="s">
        <x:v>706</x:v>
      </x:c>
      <x:c r="C28" s="9" t="n">
        <x:v>12.5</x:v>
      </x:c>
      <x:c r="F28" s="46" t="n">
        <x:v>8</x:v>
      </x:c>
      <x:c r="H28" s="46" t="n">
        <x:v>5.75</x:v>
      </x:c>
      <x:c r="I28" s="46" t="n">
        <x:v>1</x:v>
      </x:c>
      <x:c r="S28" s="10" t="n">
        <x:v>27.25</x:v>
      </x:c>
    </x:row>
    <x:row r="29" spans="1:19">
      <x:c r="A29" s="8" t="s"/>
      <x:c r="B29" s="9" t="s">
        <x:v>707</x:v>
      </x:c>
      <x:c r="C29" s="9" t="n">
        <x:v>3</x:v>
      </x:c>
      <x:c r="F29" s="46" t="n">
        <x:v>6</x:v>
      </x:c>
      <x:c r="G29" s="46" t="n">
        <x:v>20.5</x:v>
      </x:c>
      <x:c r="H29" s="46" t="n">
        <x:v>2</x:v>
      </x:c>
      <x:c r="N29" s="46" t="n">
        <x:v>3</x:v>
      </x:c>
      <x:c r="S29" s="10" t="n">
        <x:v>34.5</x:v>
      </x:c>
    </x:row>
    <x:row r="30" spans="1:19">
      <x:c r="A30" s="8" t="s"/>
      <x:c r="B30" s="9" t="s">
        <x:v>708</x:v>
      </x:c>
      <x:c r="C30" s="9" t="s"/>
      <x:c r="O30" s="46" t="n">
        <x:v>0.5</x:v>
      </x:c>
      <x:c r="S30" s="10" t="n">
        <x:v>0.5</x:v>
      </x:c>
    </x:row>
    <x:row r="31" spans="1:19">
      <x:c r="A31" s="11" t="s">
        <x:v>18</x:v>
      </x:c>
      <x:c r="B31" s="12" t="s"/>
      <x:c r="C31" s="11" t="n">
        <x:v>205.5</x:v>
      </x:c>
      <x:c r="D31" s="13" t="n">
        <x:v>24</x:v>
      </x:c>
      <x:c r="E31" s="13" t="n">
        <x:v>35</x:v>
      </x:c>
      <x:c r="F31" s="13" t="n">
        <x:v>54</x:v>
      </x:c>
      <x:c r="G31" s="13" t="n">
        <x:v>230</x:v>
      </x:c>
      <x:c r="H31" s="13" t="n">
        <x:v>321.05</x:v>
      </x:c>
      <x:c r="I31" s="13" t="n">
        <x:v>17</x:v>
      </x:c>
      <x:c r="J31" s="13" t="n">
        <x:v>12</x:v>
      </x:c>
      <x:c r="K31" s="13" t="n">
        <x:v>20</x:v>
      </x:c>
      <x:c r="L31" s="13" t="n">
        <x:v>4.5</x:v>
      </x:c>
      <x:c r="M31" s="13" t="n">
        <x:v>9</x:v>
      </x:c>
      <x:c r="N31" s="13" t="n">
        <x:v>14.5</x:v>
      </x:c>
      <x:c r="O31" s="13" t="n">
        <x:v>21.5</x:v>
      </x:c>
      <x:c r="P31" s="13" t="n">
        <x:v>36.7</x:v>
      </x:c>
      <x:c r="Q31" s="13" t="n">
        <x:v>6.8</x:v>
      </x:c>
      <x:c r="R31" s="13" t="n">
        <x:v>87</x:v>
      </x:c>
      <x:c r="S31" s="14" t="n">
        <x:v>1098.55</x:v>
      </x:c>
    </x:row>
    <x:row r="37" spans="1:19"/>
  </x:sheetData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J327"/>
  <x:sheetViews>
    <x:sheetView zoomScale="90" zoomScaleNormal="90" workbookViewId="0">
      <x:pane xSplit="0" ySplit="21" topLeftCell="A22" activePane="bottomLeft" state="frozenSplit"/>
      <x:selection activeCell="E82" sqref="E82 E82:E82"/>
    </x:sheetView>
  </x:sheetViews>
  <x:sheetFormatPr defaultColWidth="13.847031" defaultRowHeight="15" outlineLevelCol="1"/>
  <x:cols>
    <x:col min="1" max="1" width="8.855469" style="67" customWidth="1"/>
    <x:col min="2" max="2" width="38.425781" style="67" customWidth="1"/>
    <x:col min="3" max="3" width="39.285156" style="67" customWidth="1"/>
    <x:col min="4" max="4" width="15.285156" style="67" customWidth="1"/>
    <x:col min="5" max="6" width="8.710938" style="67" customWidth="1"/>
    <x:col min="7" max="8" width="2.425781" style="67" customWidth="1"/>
    <x:col min="9" max="10" width="8.855469" style="67" customWidth="1"/>
    <x:col min="11" max="11" width="13.710938" style="67" hidden="1" customWidth="1" outlineLevel="1"/>
    <x:col min="12" max="12" width="8.855469" style="67" customWidth="1" collapsed="1"/>
    <x:col min="13" max="1024" width="8.855469" style="67" customWidth="1"/>
  </x:cols>
  <x:sheetData>
    <x:row r="1" spans="1:1024" s="68" customFormat="1" ht="15" customHeight="1">
      <x:c r="A1" s="52" t="s">
        <x:v>709</x:v>
      </x:c>
      <x:c r="B1" s="52" t="s"/>
      <x:c r="C1" s="52" t="s"/>
      <x:c r="D1" s="52" t="s"/>
      <x:c r="E1" s="52" t="s"/>
      <x:c r="F1" s="52" t="s"/>
    </x:row>
    <x:row r="2" spans="1:1024" s="68" customFormat="1" ht="31.9" customHeight="1">
      <x:c r="A2" s="52" t="s">
        <x:v>710</x:v>
      </x:c>
      <x:c r="B2" s="52" t="s"/>
      <x:c r="C2" s="52" t="s"/>
      <x:c r="D2" s="52" t="s"/>
      <x:c r="E2" s="52" t="s"/>
      <x:c r="F2" s="52" t="s"/>
    </x:row>
    <x:row r="3" spans="1:1024" s="68" customFormat="1" ht="31.9" customHeight="1">
      <x:c r="A3" s="52" t="s">
        <x:v>711</x:v>
      </x:c>
      <x:c r="B3" s="52" t="s"/>
      <x:c r="C3" s="52" t="s"/>
      <x:c r="D3" s="52" t="s"/>
      <x:c r="E3" s="52" t="s"/>
      <x:c r="F3" s="52" t="s"/>
    </x:row>
    <x:row r="4" spans="1:1024" s="68" customFormat="1" ht="15" customHeight="1">
      <x:c r="A4" s="52" t="s">
        <x:v>712</x:v>
      </x:c>
      <x:c r="B4" s="52" t="s"/>
      <x:c r="C4" s="52" t="s"/>
      <x:c r="D4" s="52" t="s"/>
      <x:c r="E4" s="52" t="s"/>
      <x:c r="F4" s="52" t="s"/>
    </x:row>
    <x:row r="5" spans="1:1024" s="68" customFormat="1" ht="15" customHeight="1">
      <x:c r="A5" s="52" t="s">
        <x:v>713</x:v>
      </x:c>
      <x:c r="B5" s="52" t="s"/>
      <x:c r="C5" s="52" t="s"/>
      <x:c r="D5" s="52" t="s"/>
      <x:c r="E5" s="52" t="s"/>
      <x:c r="F5" s="52" t="s"/>
    </x:row>
    <x:row r="6" spans="1:1024" s="68" customFormat="1" ht="44.45" customHeight="1">
      <x:c r="A6" s="52" t="s">
        <x:v>714</x:v>
      </x:c>
      <x:c r="B6" s="52" t="s"/>
      <x:c r="C6" s="52" t="s"/>
      <x:c r="D6" s="52" t="s"/>
      <x:c r="E6" s="52" t="s"/>
      <x:c r="F6" s="52" t="s"/>
    </x:row>
    <x:row r="7" spans="1:1024" s="68" customFormat="1" ht="29.45" customHeight="1">
      <x:c r="A7" s="52" t="s">
        <x:v>715</x:v>
      </x:c>
      <x:c r="B7" s="52" t="s"/>
      <x:c r="C7" s="52" t="s"/>
      <x:c r="D7" s="52" t="s"/>
      <x:c r="E7" s="52" t="s"/>
      <x:c r="F7" s="52" t="s"/>
    </x:row>
    <x:row r="8" spans="1:1024" s="68" customFormat="1" ht="15" customHeight="1">
      <x:c r="A8" s="52" t="s">
        <x:v>716</x:v>
      </x:c>
      <x:c r="B8" s="52" t="s"/>
      <x:c r="C8" s="52" t="s"/>
      <x:c r="D8" s="52" t="s"/>
      <x:c r="E8" s="52" t="s"/>
      <x:c r="F8" s="52" t="s"/>
    </x:row>
    <x:row r="11" spans="1:1024" hidden="1" outlineLevel="1">
      <x:c r="A11" s="53" t="s"/>
      <x:c r="B11" s="54" t="s">
        <x:v>717</x:v>
      </x:c>
      <x:c r="C11" s="55" t="s">
        <x:v>718</x:v>
      </x:c>
      <x:c r="D11" s="55" t="s">
        <x:v>719</x:v>
      </x:c>
      <x:c r="K11" s="56" t="n">
        <x:v>0.86</x:v>
      </x:c>
    </x:row>
    <x:row r="12" spans="1:1024" hidden="1" outlineLevel="1">
      <x:c r="A12" s="53" t="s"/>
      <x:c r="B12" s="54" t="s">
        <x:v>720</x:v>
      </x:c>
      <x:c r="C12" s="57">
        <x:f>IFERROR(ROUND(_xlfn.STDEV.S($E:$E),0),"-")</x:f>
      </x:c>
      <x:c r="D12" s="57">
        <x:f>IFERROR(ROUND(_xlfn.STDEV.S($F:$F),0),"-")</x:f>
      </x:c>
      <x:c r="K12" s="56" t="s">
        <x:v>721</x:v>
      </x:c>
    </x:row>
    <x:row r="13" spans="1:1024" hidden="1" outlineLevel="1">
      <x:c r="A13" s="53" t="s"/>
      <x:c r="B13" s="54" t="s">
        <x:v>722</x:v>
      </x:c>
      <x:c r="C13" s="57">
        <x:f>IFERROR(ROUND(AVERAGE($E:$E),0),"-")</x:f>
      </x:c>
      <x:c r="D13" s="57">
        <x:f>IFERROR(ROUND(AVERAGE($F:$F),0),"-")</x:f>
      </x:c>
      <x:c r="K13" s="56" t="s">
        <x:v>723</x:v>
      </x:c>
    </x:row>
    <x:row r="14" spans="1:1024" hidden="1" outlineLevel="1">
      <x:c r="A14" s="53" t="s"/>
      <x:c r="B14" s="54" t="s">
        <x:v>724</x:v>
      </x:c>
      <x:c r="C14" s="57">
        <x:f>IFERROR(ROUND(_xlfn.PERCENTILE.INC($E:$E,0.1),0),"-")</x:f>
      </x:c>
      <x:c r="D14" s="57">
        <x:f>IFERROR(ROUND(_xlfn.PERCENTILE.INC($F:$F,0.1),0),"-")</x:f>
      </x:c>
    </x:row>
    <x:row r="15" spans="1:1024" hidden="1" outlineLevel="1">
      <x:c r="A15" s="53" t="s"/>
      <x:c r="B15" s="54" t="s">
        <x:v>725</x:v>
      </x:c>
      <x:c r="C15" s="57">
        <x:f>IFERROR(ROUND(_xlfn.QUARTILE.INC($E:$E,1),0),"-")</x:f>
      </x:c>
      <x:c r="D15" s="57">
        <x:f>IFERROR(ROUND(_xlfn.QUARTILE.INC($F:$F,1),0),"-")</x:f>
      </x:c>
    </x:row>
    <x:row r="16" spans="1:1024" hidden="1" outlineLevel="1">
      <x:c r="A16" s="53" t="s"/>
      <x:c r="B16" s="54" t="s">
        <x:v>726</x:v>
      </x:c>
      <x:c r="C16" s="57">
        <x:f>IFERROR(ROUND(MEDIAN($E:$E),0),"-")</x:f>
      </x:c>
      <x:c r="D16" s="57">
        <x:f>IFERROR(ROUND(MEDIAN($F:$F),0),"-")</x:f>
      </x:c>
    </x:row>
    <x:row r="17" spans="1:1024" hidden="1" outlineLevel="1">
      <x:c r="A17" s="53" t="s"/>
      <x:c r="B17" s="54" t="s">
        <x:v>727</x:v>
      </x:c>
      <x:c r="C17" s="57">
        <x:f>IFERROR(ROUND(_xlfn.QUARTILE.INC($E:$E,3),0),"-")</x:f>
      </x:c>
      <x:c r="D17" s="57">
        <x:f>IFERROR(ROUND(_xlfn.QUARTILE.INC($F:$F,3),0),"-")</x:f>
      </x:c>
    </x:row>
    <x:row r="18" spans="1:1024" hidden="1" outlineLevel="1">
      <x:c r="A18" s="53" t="s"/>
      <x:c r="B18" s="54" t="s">
        <x:v>728</x:v>
      </x:c>
      <x:c r="C18" s="57">
        <x:f>IFERROR(ROUND(_xlfn.PERCENTILE.INC($E:$E,0.9),0),"-")</x:f>
      </x:c>
      <x:c r="D18" s="57">
        <x:f>IFERROR(ROUND(_xlfn.PERCENTILE.INC($F:$F,0.9),0),"-")</x:f>
      </x:c>
    </x:row>
    <x:row r="19" spans="1:1024" hidden="1" outlineLevel="1">
      <x:c r="A19" s="58" t="s"/>
      <x:c r="B19" s="58" t="s"/>
      <x:c r="C19" s="58" t="s"/>
      <x:c r="D19" s="58" t="s"/>
      <x:c r="E19" s="58" t="s"/>
      <x:c r="F19" s="58" t="s"/>
    </x:row>
    <x:row r="20" spans="1:1024" hidden="1" outlineLevel="1">
      <x:c r="A20" s="58" t="s"/>
      <x:c r="B20" s="59" t="s"/>
      <x:c r="C20" s="60" t="s"/>
      <x:c r="D20" s="60" t="s"/>
      <x:c r="E20" s="58" t="s"/>
      <x:c r="F20" s="58" t="s"/>
    </x:row>
    <x:row r="21" spans="1:1024" s="69" customFormat="1" ht="31.9" customHeight="1" collapsed="1">
      <x:c r="A21" s="61" t="s">
        <x:v>0</x:v>
      </x:c>
      <x:c r="B21" s="61" t="s">
        <x:v>729</x:v>
      </x:c>
      <x:c r="C21" s="61" t="s">
        <x:v>730</x:v>
      </x:c>
      <x:c r="D21" s="61" t="s">
        <x:v>731</x:v>
      </x:c>
      <x:c r="E21" s="61" t="s">
        <x:v>732</x:v>
      </x:c>
      <x:c r="F21" s="61" t="s">
        <x:v>733</x:v>
      </x:c>
    </x:row>
    <x:row r="22" spans="1:1024" s="69" customFormat="1" ht="14.25" customHeight="1">
      <x:c r="A22" s="62" t="s"/>
      <x:c r="B22" s="62" t="s"/>
      <x:c r="C22" s="63" t="s">
        <x:v>473</x:v>
      </x:c>
      <x:c r="D22" s="62" t="s"/>
      <x:c r="E22" s="62" t="s"/>
      <x:c r="F22" s="64" t="s"/>
    </x:row>
    <x:row r="23" spans="1:1024" outlineLevel="1">
      <x:c r="A23" s="50" t="n">
        <x:v>18</x:v>
      </x:c>
      <x:c r="B23" s="17" t="str">
        <x:f>HYPERLINK("https://rabota.by/vacancy/44662739","ЭЛЕКА, сеть магазинов")</x:f>
      </x:c>
      <x:c r="C23" s="16" t="s">
        <x:v>734</x:v>
      </x:c>
      <x:c r="D23" s="16" t="s">
        <x:v>723</x:v>
      </x:c>
      <x:c r="E23" s="16" t="n">
        <x:v>1400</x:v>
      </x:c>
      <x:c r="F23" s="51">
        <x:f>IF(ROUND(E23/$K$11,2)&gt;0,ROUND(E23/$K$11,2),"")</x:f>
      </x:c>
    </x:row>
    <x:row r="24" spans="1:1024" outlineLevel="1">
      <x:c r="A24" s="50" t="n">
        <x:v>18</x:v>
      </x:c>
      <x:c r="B24" s="17" t="str">
        <x:f>HYPERLINK("https://rabota.by/vacancy/48638761","PRI")</x:f>
      </x:c>
      <x:c r="C24" s="16" t="s">
        <x:v>735</x:v>
      </x:c>
      <x:c r="D24" s="16" t="s">
        <x:v>723</x:v>
      </x:c>
      <x:c r="E24" s="16" t="n">
        <x:v>559</x:v>
      </x:c>
      <x:c r="F24" s="51">
        <x:f>IF(ROUND(E24/$K$11,2)&gt;0,ROUND(E24/$K$11,2),"")</x:f>
      </x:c>
    </x:row>
    <x:row r="25" spans="1:1024" outlineLevel="1">
      <x:c r="A25" s="50" t="n">
        <x:v>18</x:v>
      </x:c>
      <x:c r="B25" s="17" t="str">
        <x:f>HYPERLINK("https://rabota.by/vacancy/46606193","Группа  Армтек")</x:f>
      </x:c>
      <x:c r="C25" s="16" t="s">
        <x:v>736</x:v>
      </x:c>
      <x:c r="D25" s="16" t="s">
        <x:v>723</x:v>
      </x:c>
      <x:c r="E25" s="16" t="n">
        <x:v>2150</x:v>
      </x:c>
      <x:c r="F25" s="51">
        <x:f>IF(ROUND(E25/$K$11,2)&gt;0,ROUND(E25/$K$11,2),"")</x:f>
      </x:c>
    </x:row>
    <x:row r="26" spans="1:1024" outlineLevel="1">
      <x:c r="A26" s="50" t="n">
        <x:v>18</x:v>
      </x:c>
      <x:c r="B26" s="17" t="str">
        <x:f>HYPERLINK("https://rabota.by/vacancy/46606193","Группа  Армтек")</x:f>
      </x:c>
      <x:c r="C26" s="16" t="s">
        <x:v>737</x:v>
      </x:c>
      <x:c r="D26" s="16" t="s">
        <x:v>723</x:v>
      </x:c>
      <x:c r="E26" s="16" t="n">
        <x:v>2151</x:v>
      </x:c>
      <x:c r="F26" s="51">
        <x:f>IF(ROUND(E26/$K$11,2)&gt;0,ROUND(E26/$K$11,2),"")</x:f>
      </x:c>
    </x:row>
    <x:row r="27" spans="1:1024" outlineLevel="1">
      <x:c r="A27" s="50" t="n">
        <x:v>18</x:v>
      </x:c>
      <x:c r="B27" s="17" t="str">
        <x:f>HYPERLINK("https://rabota.by/vacancy/49099369","«СПОРТМАСТЕР» (Беларусь)")</x:f>
      </x:c>
      <x:c r="C27" s="16" t="s">
        <x:v>735</x:v>
      </x:c>
      <x:c r="D27" s="16" t="s">
        <x:v>723</x:v>
      </x:c>
      <x:c r="E27" s="16" t="n">
        <x:v>2000</x:v>
      </x:c>
      <x:c r="F27" s="51">
        <x:f>IF(ROUND(E27/$K$11,2)&gt;0,ROUND(E27/$K$11,2),"")</x:f>
      </x:c>
    </x:row>
    <x:row r="28" spans="1:1024" outlineLevel="1">
      <x:c r="A28" s="50" t="n">
        <x:v>18</x:v>
      </x:c>
      <x:c r="B28" s="17" t="str">
        <x:f>HYPERLINK("https://rabota.by/vacancy/48613920","ТУТ  Логистикс")</x:f>
      </x:c>
      <x:c r="C28" s="16" t="s">
        <x:v>738</x:v>
      </x:c>
      <x:c r="D28" s="16" t="s">
        <x:v>723</x:v>
      </x:c>
      <x:c r="E28" s="16" t="n">
        <x:v>2300</x:v>
      </x:c>
      <x:c r="F28" s="51">
        <x:f>IF(ROUND(E28/$K$11,2)&gt;0,ROUND(E28/$K$11,2),"")</x:f>
      </x:c>
    </x:row>
    <x:row r="29" spans="1:1024" outlineLevel="1">
      <x:c r="A29" s="50" t="n">
        <x:v>18</x:v>
      </x:c>
      <x:c r="B29" s="17" t="str">
        <x:f>HYPERLINK("https://rabota.by/vacancy/42570638","О вин")</x:f>
      </x:c>
      <x:c r="C29" s="16" t="s">
        <x:v>735</x:v>
      </x:c>
      <x:c r="D29" s="16" t="s">
        <x:v>723</x:v>
      </x:c>
      <x:c r="E29" s="16" t="n">
        <x:v>1161</x:v>
      </x:c>
      <x:c r="F29" s="51">
        <x:f>IF(ROUND(E29/$K$11,2)&gt;0,ROUND(E29/$K$11,2),"")</x:f>
      </x:c>
    </x:row>
    <x:row r="30" spans="1:1024" outlineLevel="1">
      <x:c r="A30" s="50" t="n">
        <x:v>18</x:v>
      </x:c>
      <x:c r="B30" s="16" t="s"/>
      <x:c r="C30" s="16" t="s"/>
      <x:c r="D30" s="16" t="s"/>
      <x:c r="E30" s="16" t="s"/>
      <x:c r="F30" s="51" t="str">
        <x:f>IF(ROUND(E30/$K$11,2)&gt;0,ROUND(E30/$K$11,2),"")</x:f>
      </x:c>
    </x:row>
    <x:row r="31" spans="1:1024" outlineLevel="1">
      <x:c r="A31" s="50" t="n">
        <x:v>18</x:v>
      </x:c>
      <x:c r="B31" s="16" t="s"/>
      <x:c r="C31" s="16" t="s"/>
      <x:c r="D31" s="16" t="s"/>
      <x:c r="E31" s="16" t="s"/>
      <x:c r="F31" s="51" t="str">
        <x:f>IF(ROUND(E31/$K$11,2)&gt;0,ROUND(E31/$K$11,2),"")</x:f>
      </x:c>
    </x:row>
    <x:row r="32" spans="1:1024" outlineLevel="1">
      <x:c r="A32" s="50" t="n">
        <x:v>18</x:v>
      </x:c>
      <x:c r="B32" s="16" t="s"/>
      <x:c r="C32" s="16" t="s"/>
      <x:c r="D32" s="16" t="s"/>
      <x:c r="E32" s="16" t="s"/>
      <x:c r="F32" s="51" t="str">
        <x:f>IF(ROUND(E32/$K$11,2)&gt;0,ROUND(E32/$K$11,2),"")</x:f>
      </x:c>
    </x:row>
    <x:row r="33" spans="1:1024" outlineLevel="1">
      <x:c r="A33" s="50" t="n">
        <x:v>18</x:v>
      </x:c>
      <x:c r="B33" s="16" t="s"/>
      <x:c r="C33" s="16" t="s"/>
      <x:c r="D33" s="16" t="s"/>
      <x:c r="E33" s="16" t="s"/>
      <x:c r="F33" s="51" t="str">
        <x:f>IF(ROUND(E33/$K$11,2)&gt;0,ROUND(E33/$K$11,2),"")</x:f>
      </x:c>
    </x:row>
    <x:row r="34" spans="1:1024" outlineLevel="1">
      <x:c r="A34" s="50" t="n">
        <x:v>18</x:v>
      </x:c>
      <x:c r="B34" s="16" t="s"/>
      <x:c r="C34" s="16" t="s"/>
      <x:c r="D34" s="16" t="s"/>
      <x:c r="E34" s="16" t="s"/>
      <x:c r="F34" s="51" t="str">
        <x:f>IF(ROUND(E34/$K$11,2)&gt;0,ROUND(E34/$K$11,2),"")</x:f>
      </x:c>
    </x:row>
    <x:row r="35" spans="1:1024" outlineLevel="1">
      <x:c r="A35" s="50" t="n">
        <x:v>18</x:v>
      </x:c>
      <x:c r="B35" s="16" t="s"/>
      <x:c r="C35" s="16" t="s"/>
      <x:c r="D35" s="16" t="s"/>
      <x:c r="E35" s="16" t="s"/>
      <x:c r="F35" s="51" t="str">
        <x:f>IF(ROUND(E35/$K$11,2)&gt;0,ROUND(E35/$K$11,2),"")</x:f>
      </x:c>
    </x:row>
    <x:row r="36" spans="1:1024" outlineLevel="1">
      <x:c r="A36" s="50" t="n">
        <x:v>18</x:v>
      </x:c>
      <x:c r="B36" s="16" t="s"/>
      <x:c r="C36" s="16" t="s"/>
      <x:c r="D36" s="16" t="s"/>
      <x:c r="E36" s="16" t="s"/>
      <x:c r="F36" s="51" t="str">
        <x:f>IF(ROUND(E36/$K$11,2)&gt;0,ROUND(E36/$K$11,2),"")</x:f>
      </x:c>
    </x:row>
    <x:row r="37" spans="1:1024" outlineLevel="1">
      <x:c r="A37" s="50" t="n">
        <x:v>18</x:v>
      </x:c>
      <x:c r="B37" s="16" t="s"/>
      <x:c r="C37" s="16" t="s"/>
      <x:c r="D37" s="16" t="s"/>
      <x:c r="E37" s="16" t="s"/>
      <x:c r="F37" s="51" t="str">
        <x:f>IF(ROUND(E37/$K$11,2)&gt;0,ROUND(E37/$K$11,2),"")</x:f>
      </x:c>
    </x:row>
    <x:row r="38" spans="1:1024" outlineLevel="1">
      <x:c r="A38" s="50" t="n">
        <x:v>18</x:v>
      </x:c>
      <x:c r="B38" s="16" t="s"/>
      <x:c r="C38" s="16" t="s"/>
      <x:c r="D38" s="16" t="s"/>
      <x:c r="E38" s="16" t="s"/>
      <x:c r="F38" s="51" t="str">
        <x:f>IF(ROUND(E38/$K$11,2)&gt;0,ROUND(E38/$K$11,2),"")</x:f>
      </x:c>
    </x:row>
    <x:row r="39" spans="1:1024" outlineLevel="1">
      <x:c r="A39" s="50" t="n">
        <x:v>18</x:v>
      </x:c>
      <x:c r="B39" s="16" t="s"/>
      <x:c r="C39" s="16" t="s"/>
      <x:c r="D39" s="16" t="s"/>
      <x:c r="E39" s="16" t="s"/>
      <x:c r="F39" s="51" t="str">
        <x:f>IF(ROUND(E39/$K$11,2)&gt;0,ROUND(E39/$K$11,2),"")</x:f>
      </x:c>
    </x:row>
    <x:row r="40" spans="1:1024" outlineLevel="1">
      <x:c r="A40" s="50" t="n">
        <x:v>18</x:v>
      </x:c>
      <x:c r="B40" s="16" t="s"/>
      <x:c r="C40" s="16" t="s"/>
      <x:c r="D40" s="16" t="s"/>
      <x:c r="E40" s="16" t="s"/>
      <x:c r="F40" s="51" t="str">
        <x:f>IF(ROUND(E40/$K$11,2)&gt;0,ROUND(E40/$K$11,2),"")</x:f>
      </x:c>
    </x:row>
    <x:row r="41" spans="1:1024" outlineLevel="1">
      <x:c r="A41" s="50" t="n">
        <x:v>18</x:v>
      </x:c>
      <x:c r="B41" s="16" t="s"/>
      <x:c r="C41" s="16" t="s"/>
      <x:c r="D41" s="16" t="s"/>
      <x:c r="E41" s="16" t="s"/>
      <x:c r="F41" s="51" t="str">
        <x:f>IF(ROUND(E41/$K$11,2)&gt;0,ROUND(E41/$K$11,2),"")</x:f>
      </x:c>
    </x:row>
    <x:row r="42" spans="1:1024" outlineLevel="1">
      <x:c r="A42" s="50" t="n">
        <x:v>18</x:v>
      </x:c>
      <x:c r="B42" s="16" t="s"/>
      <x:c r="C42" s="16" t="s"/>
      <x:c r="D42" s="16" t="s"/>
      <x:c r="E42" s="16" t="s"/>
      <x:c r="F42" s="51" t="str">
        <x:f>IF(ROUND(E42/$K$11,2)&gt;0,ROUND(E42/$K$11,2),"")</x:f>
      </x:c>
    </x:row>
    <x:row r="43" spans="1:1024" outlineLevel="1">
      <x:c r="A43" s="50" t="n">
        <x:v>18</x:v>
      </x:c>
      <x:c r="B43" s="16" t="s"/>
      <x:c r="C43" s="16" t="s"/>
      <x:c r="D43" s="16" t="s"/>
      <x:c r="E43" s="16" t="s"/>
      <x:c r="F43" s="51" t="str">
        <x:f>IF(ROUND(E43/$K$11,2)&gt;0,ROUND(E43/$K$11,2),"")</x:f>
      </x:c>
    </x:row>
    <x:row r="44" spans="1:1024" outlineLevel="1">
      <x:c r="A44" s="50" t="n">
        <x:v>18</x:v>
      </x:c>
      <x:c r="B44" s="16" t="s"/>
      <x:c r="C44" s="16" t="s"/>
      <x:c r="D44" s="16" t="s"/>
      <x:c r="E44" s="16" t="s"/>
      <x:c r="F44" s="51" t="str">
        <x:f>IF(ROUND(E44/$K$11,2)&gt;0,ROUND(E44/$K$11,2),"")</x:f>
      </x:c>
    </x:row>
    <x:row r="45" spans="1:1024" outlineLevel="1">
      <x:c r="A45" s="50" t="n">
        <x:v>18</x:v>
      </x:c>
      <x:c r="B45" s="16" t="s"/>
      <x:c r="C45" s="16" t="s"/>
      <x:c r="D45" s="16" t="s"/>
      <x:c r="E45" s="16" t="s"/>
      <x:c r="F45" s="51" t="str">
        <x:f>IF(ROUND(E45/$K$11,2)&gt;0,ROUND(E45/$K$11,2),"")</x:f>
      </x:c>
    </x:row>
    <x:row r="46" spans="1:1024" outlineLevel="1">
      <x:c r="A46" s="50" t="n">
        <x:v>18</x:v>
      </x:c>
      <x:c r="B46" s="16" t="s"/>
      <x:c r="C46" s="16" t="s"/>
      <x:c r="D46" s="16" t="s"/>
      <x:c r="E46" s="16" t="s"/>
      <x:c r="F46" s="51" t="str">
        <x:f>IF(ROUND(E46/$K$11,2)&gt;0,ROUND(E46/$K$11,2),"")</x:f>
      </x:c>
    </x:row>
    <x:row r="47" spans="1:1024" outlineLevel="1">
      <x:c r="A47" s="50" t="n">
        <x:v>18</x:v>
      </x:c>
      <x:c r="B47" s="16" t="s"/>
      <x:c r="C47" s="16" t="s"/>
      <x:c r="D47" s="16" t="s"/>
      <x:c r="E47" s="16" t="s"/>
      <x:c r="F47" s="51" t="str">
        <x:f>IF(ROUND(E47/$K$11,2)&gt;0,ROUND(E47/$K$11,2),"")</x:f>
      </x:c>
    </x:row>
    <x:row r="48" spans="1:1024" outlineLevel="1">
      <x:c r="A48" s="50" t="n">
        <x:v>18</x:v>
      </x:c>
      <x:c r="B48" s="16" t="s"/>
      <x:c r="C48" s="16" t="s"/>
      <x:c r="D48" s="16" t="s"/>
      <x:c r="E48" s="16" t="s"/>
      <x:c r="F48" s="51" t="str">
        <x:f>IF(ROUND(E48/$K$11,2)&gt;0,ROUND(E48/$K$11,2),"")</x:f>
      </x:c>
    </x:row>
    <x:row r="49" spans="1:1024" outlineLevel="1">
      <x:c r="A49" s="50" t="n">
        <x:v>18</x:v>
      </x:c>
      <x:c r="B49" s="16" t="s"/>
      <x:c r="C49" s="16" t="s"/>
      <x:c r="D49" s="16" t="s"/>
      <x:c r="E49" s="16" t="s"/>
      <x:c r="F49" s="51" t="str">
        <x:f>IF(ROUND(E49/$K$11,2)&gt;0,ROUND(E49/$K$11,2),"")</x:f>
      </x:c>
    </x:row>
    <x:row r="50" spans="1:1024" outlineLevel="1">
      <x:c r="A50" s="50" t="n">
        <x:v>18</x:v>
      </x:c>
      <x:c r="B50" s="16" t="s"/>
      <x:c r="C50" s="16" t="s"/>
      <x:c r="D50" s="16" t="s"/>
      <x:c r="E50" s="16" t="s"/>
      <x:c r="F50" s="51" t="str">
        <x:f>IF(ROUND(E50/$K$11,2)&gt;0,ROUND(E50/$K$11,2),"")</x:f>
      </x:c>
    </x:row>
    <x:row r="51" spans="1:1024" outlineLevel="1">
      <x:c r="A51" s="50" t="n">
        <x:v>18</x:v>
      </x:c>
      <x:c r="B51" s="16" t="s"/>
      <x:c r="C51" s="16" t="s"/>
      <x:c r="D51" s="16" t="s"/>
      <x:c r="E51" s="16" t="s"/>
      <x:c r="F51" s="51" t="str">
        <x:f>IF(ROUND(E51/$K$11,2)&gt;0,ROUND(E51/$K$11,2),"")</x:f>
      </x:c>
    </x:row>
    <x:row r="52" spans="1:1024" outlineLevel="1">
      <x:c r="A52" s="50" t="n">
        <x:v>18</x:v>
      </x:c>
      <x:c r="B52" s="16" t="s"/>
      <x:c r="C52" s="16" t="s"/>
      <x:c r="D52" s="16" t="s"/>
      <x:c r="E52" s="16" t="s"/>
      <x:c r="F52" s="51" t="str">
        <x:f>IF(ROUND(E52/$K$11,2)&gt;0,ROUND(E52/$K$11,2),"")</x:f>
      </x:c>
    </x:row>
    <x:row r="53" spans="1:1024" outlineLevel="1">
      <x:c r="A53" s="50" t="n">
        <x:v>18</x:v>
      </x:c>
      <x:c r="B53" s="16" t="s"/>
      <x:c r="C53" s="16" t="s"/>
      <x:c r="D53" s="16" t="s"/>
      <x:c r="E53" s="16" t="s"/>
      <x:c r="F53" s="51" t="str">
        <x:f>IF(ROUND(E53/$K$11,2)&gt;0,ROUND(E53/$K$11,2),"")</x:f>
      </x:c>
    </x:row>
    <x:row r="54" spans="1:1024" outlineLevel="1">
      <x:c r="A54" s="50" t="n">
        <x:v>18</x:v>
      </x:c>
      <x:c r="B54" s="16" t="s"/>
      <x:c r="C54" s="16" t="s"/>
      <x:c r="D54" s="16" t="s"/>
      <x:c r="E54" s="16" t="s"/>
      <x:c r="F54" s="51" t="str">
        <x:f>IF(ROUND(E54/$K$11,2)&gt;0,ROUND(E54/$K$11,2),"")</x:f>
      </x:c>
    </x:row>
    <x:row r="55" spans="1:1024" outlineLevel="1">
      <x:c r="A55" s="50" t="n">
        <x:v>18</x:v>
      </x:c>
      <x:c r="B55" s="16" t="s"/>
      <x:c r="C55" s="16" t="s"/>
      <x:c r="D55" s="16" t="s"/>
      <x:c r="E55" s="16" t="s"/>
      <x:c r="F55" s="51" t="str">
        <x:f>IF(ROUND(E55/$K$11,2)&gt;0,ROUND(E55/$K$11,2),"")</x:f>
      </x:c>
    </x:row>
    <x:row r="56" spans="1:1024" outlineLevel="1">
      <x:c r="A56" s="50" t="n">
        <x:v>18</x:v>
      </x:c>
      <x:c r="B56" s="16" t="s"/>
      <x:c r="C56" s="16" t="s"/>
      <x:c r="D56" s="16" t="s"/>
      <x:c r="E56" s="16" t="s"/>
      <x:c r="F56" s="51" t="str">
        <x:f>IF(ROUND(E56/$K$11,2)&gt;0,ROUND(E56/$K$11,2),"")</x:f>
      </x:c>
    </x:row>
    <x:row r="57" spans="1:1024" outlineLevel="1">
      <x:c r="A57" s="50" t="n">
        <x:v>18</x:v>
      </x:c>
      <x:c r="B57" s="16" t="s"/>
      <x:c r="C57" s="16" t="s"/>
      <x:c r="D57" s="16" t="s"/>
      <x:c r="E57" s="16" t="s"/>
      <x:c r="F57" s="51" t="str">
        <x:f>IF(ROUND(E57/$K$11,2)&gt;0,ROUND(E57/$K$11,2),"")</x:f>
      </x:c>
    </x:row>
    <x:row r="58" spans="1:1024" outlineLevel="1">
      <x:c r="A58" s="50" t="n">
        <x:v>18</x:v>
      </x:c>
      <x:c r="B58" s="16" t="s"/>
      <x:c r="C58" s="16" t="s"/>
      <x:c r="D58" s="16" t="s"/>
      <x:c r="E58" s="16" t="s"/>
      <x:c r="F58" s="51" t="str">
        <x:f>IF(ROUND(E58/$K$11,2)&gt;0,ROUND(E58/$K$11,2),"")</x:f>
      </x:c>
    </x:row>
    <x:row r="59" spans="1:1024" outlineLevel="1">
      <x:c r="A59" s="50" t="n">
        <x:v>18</x:v>
      </x:c>
      <x:c r="B59" s="16" t="s"/>
      <x:c r="C59" s="16" t="s"/>
      <x:c r="D59" s="16" t="s"/>
      <x:c r="E59" s="16" t="s"/>
      <x:c r="F59" s="51" t="str">
        <x:f>IF(ROUND(E59/$K$11,2)&gt;0,ROUND(E59/$K$11,2),"")</x:f>
      </x:c>
    </x:row>
    <x:row r="60" spans="1:1024" outlineLevel="1">
      <x:c r="A60" s="50" t="n">
        <x:v>18</x:v>
      </x:c>
      <x:c r="B60" s="16" t="s"/>
      <x:c r="C60" s="16" t="s"/>
      <x:c r="D60" s="16" t="s"/>
      <x:c r="E60" s="16" t="s"/>
      <x:c r="F60" s="51" t="str">
        <x:f>IF(ROUND(E60/$K$11,2)&gt;0,ROUND(E60/$K$11,2),"")</x:f>
      </x:c>
    </x:row>
    <x:row r="61" spans="1:1024" outlineLevel="1">
      <x:c r="A61" s="50" t="n">
        <x:v>18</x:v>
      </x:c>
      <x:c r="B61" s="16" t="s"/>
      <x:c r="C61" s="16" t="s"/>
      <x:c r="D61" s="16" t="s"/>
      <x:c r="E61" s="16" t="s"/>
      <x:c r="F61" s="51" t="str">
        <x:f>IF(ROUND(E61/$K$11,2)&gt;0,ROUND(E61/$K$11,2),"")</x:f>
      </x:c>
    </x:row>
    <x:row r="62" spans="1:1024" outlineLevel="1">
      <x:c r="A62" s="50" t="n">
        <x:v>18</x:v>
      </x:c>
      <x:c r="B62" s="16" t="s"/>
      <x:c r="C62" s="16" t="s"/>
      <x:c r="D62" s="16" t="s"/>
      <x:c r="E62" s="16" t="s"/>
      <x:c r="F62" s="51" t="str">
        <x:f>IF(ROUND(E62/$K$11,2)&gt;0,ROUND(E62/$K$11,2),"")</x:f>
      </x:c>
    </x:row>
    <x:row r="63" spans="1:1024" outlineLevel="1">
      <x:c r="A63" s="50" t="n">
        <x:v>18</x:v>
      </x:c>
      <x:c r="B63" s="16" t="s"/>
      <x:c r="C63" s="16" t="s"/>
      <x:c r="D63" s="16" t="s"/>
      <x:c r="E63" s="16" t="s"/>
      <x:c r="F63" s="51" t="str">
        <x:f>IF(ROUND(E63/$K$11,2)&gt;0,ROUND(E63/$K$11,2),"")</x:f>
      </x:c>
    </x:row>
    <x:row r="64" spans="1:1024" outlineLevel="1">
      <x:c r="A64" s="50" t="n">
        <x:v>18</x:v>
      </x:c>
      <x:c r="B64" s="16" t="s"/>
      <x:c r="C64" s="16" t="s"/>
      <x:c r="D64" s="16" t="s"/>
      <x:c r="E64" s="16" t="s"/>
      <x:c r="F64" s="51" t="str">
        <x:f>IF(ROUND(E64/$K$11,2)&gt;0,ROUND(E64/$K$11,2),"")</x:f>
      </x:c>
    </x:row>
    <x:row r="65" spans="1:1024" outlineLevel="1">
      <x:c r="A65" s="50" t="n">
        <x:v>18</x:v>
      </x:c>
      <x:c r="B65" s="16" t="s"/>
      <x:c r="C65" s="16" t="s"/>
      <x:c r="D65" s="16" t="s"/>
      <x:c r="E65" s="16" t="s"/>
      <x:c r="F65" s="51" t="str">
        <x:f>IF(ROUND(E65/$K$11,2)&gt;0,ROUND(E65/$K$11,2),"")</x:f>
      </x:c>
    </x:row>
    <x:row r="66" spans="1:1024" outlineLevel="1">
      <x:c r="A66" s="50" t="n">
        <x:v>18</x:v>
      </x:c>
      <x:c r="B66" s="16" t="s"/>
      <x:c r="C66" s="16" t="s"/>
      <x:c r="D66" s="16" t="s"/>
      <x:c r="E66" s="16" t="s"/>
      <x:c r="F66" s="51" t="str">
        <x:f>IF(ROUND(E66/$K$11,2)&gt;0,ROUND(E66/$K$11,2),"")</x:f>
      </x:c>
    </x:row>
    <x:row r="67" spans="1:1024" outlineLevel="1">
      <x:c r="A67" s="50" t="n">
        <x:v>18</x:v>
      </x:c>
      <x:c r="B67" s="16" t="s"/>
      <x:c r="C67" s="16" t="s"/>
      <x:c r="D67" s="16" t="s"/>
      <x:c r="E67" s="16" t="s"/>
      <x:c r="F67" s="51" t="str">
        <x:f>IF(ROUND(E67/$K$11,2)&gt;0,ROUND(E67/$K$11,2),"")</x:f>
      </x:c>
    </x:row>
    <x:row r="68" spans="1:1024" outlineLevel="1">
      <x:c r="A68" s="50" t="n">
        <x:v>18</x:v>
      </x:c>
      <x:c r="B68" s="16" t="s"/>
      <x:c r="C68" s="16" t="s"/>
      <x:c r="D68" s="16" t="s"/>
      <x:c r="E68" s="16" t="s"/>
      <x:c r="F68" s="51" t="str">
        <x:f>IF(ROUND(E68/$K$11,2)&gt;0,ROUND(E68/$K$11,2),"")</x:f>
      </x:c>
    </x:row>
    <x:row r="69" spans="1:1024" outlineLevel="1">
      <x:c r="A69" s="50" t="n">
        <x:v>18</x:v>
      </x:c>
      <x:c r="B69" s="16" t="s"/>
      <x:c r="C69" s="16" t="s"/>
      <x:c r="D69" s="16" t="s"/>
      <x:c r="E69" s="16" t="s"/>
      <x:c r="F69" s="51" t="str">
        <x:f>IF(ROUND(E69/$K$11,2)&gt;0,ROUND(E69/$K$11,2),"")</x:f>
      </x:c>
    </x:row>
    <x:row r="70" spans="1:1024" outlineLevel="1">
      <x:c r="A70" s="50" t="n">
        <x:v>18</x:v>
      </x:c>
      <x:c r="B70" s="16" t="s"/>
      <x:c r="C70" s="16" t="s"/>
      <x:c r="D70" s="16" t="s"/>
      <x:c r="E70" s="16" t="s"/>
      <x:c r="F70" s="51" t="str">
        <x:f>IF(ROUND(E70/$K$11,2)&gt;0,ROUND(E70/$K$11,2),"")</x:f>
      </x:c>
    </x:row>
    <x:row r="71" spans="1:1024" outlineLevel="1">
      <x:c r="A71" s="50" t="n">
        <x:v>18</x:v>
      </x:c>
      <x:c r="B71" s="16" t="s"/>
      <x:c r="C71" s="16" t="s"/>
      <x:c r="D71" s="16" t="s"/>
      <x:c r="E71" s="16" t="s"/>
      <x:c r="F71" s="51" t="str">
        <x:f>IF(ROUND(E71/$K$11,2)&gt;0,ROUND(E71/$K$11,2),"")</x:f>
      </x:c>
    </x:row>
    <x:row r="72" spans="1:1024" outlineLevel="1">
      <x:c r="A72" s="50" t="n">
        <x:v>18</x:v>
      </x:c>
      <x:c r="B72" s="16" t="s"/>
      <x:c r="C72" s="16" t="s"/>
      <x:c r="D72" s="16" t="s"/>
      <x:c r="E72" s="16" t="s"/>
      <x:c r="F72" s="51" t="str">
        <x:f>IF(ROUND(E72/$K$11,2)&gt;0,ROUND(E72/$K$11,2),"")</x:f>
      </x:c>
    </x:row>
    <x:row r="73" spans="1:1024" outlineLevel="1">
      <x:c r="A73" s="50" t="n">
        <x:v>18</x:v>
      </x:c>
      <x:c r="B73" s="16" t="s"/>
      <x:c r="C73" s="16" t="s"/>
      <x:c r="D73" s="16" t="s"/>
      <x:c r="E73" s="16" t="s"/>
      <x:c r="F73" s="51" t="str">
        <x:f>IF(ROUND(E73/$K$11,2)&gt;0,ROUND(E73/$K$11,2),"")</x:f>
      </x:c>
    </x:row>
    <x:row r="74" spans="1:1024" outlineLevel="1">
      <x:c r="A74" s="50" t="n">
        <x:v>18</x:v>
      </x:c>
      <x:c r="B74" s="16" t="s"/>
      <x:c r="C74" s="16" t="s"/>
      <x:c r="D74" s="16" t="s"/>
      <x:c r="E74" s="16" t="s"/>
      <x:c r="F74" s="51" t="str">
        <x:f>IF(ROUND(E74/$K$11,2)&gt;0,ROUND(E74/$K$11,2),"")</x:f>
      </x:c>
    </x:row>
    <x:row r="75" spans="1:1024" outlineLevel="1">
      <x:c r="A75" s="50" t="n">
        <x:v>18</x:v>
      </x:c>
      <x:c r="B75" s="16" t="s"/>
      <x:c r="C75" s="16" t="s"/>
      <x:c r="D75" s="16" t="s"/>
      <x:c r="E75" s="16" t="s"/>
      <x:c r="F75" s="51" t="str">
        <x:f>IF(ROUND(E75/$K$11,2)&gt;0,ROUND(E75/$K$11,2),"")</x:f>
      </x:c>
    </x:row>
    <x:row r="76" spans="1:1024" outlineLevel="1">
      <x:c r="A76" s="50" t="n">
        <x:v>18</x:v>
      </x:c>
      <x:c r="B76" s="16" t="s"/>
      <x:c r="C76" s="16" t="s"/>
      <x:c r="D76" s="16" t="s"/>
      <x:c r="E76" s="16" t="s"/>
      <x:c r="F76" s="51" t="str">
        <x:f>IF(ROUND(E76/$K$11,2)&gt;0,ROUND(E76/$K$11,2),"")</x:f>
      </x:c>
    </x:row>
    <x:row r="77" spans="1:1024" outlineLevel="1">
      <x:c r="A77" s="50" t="n">
        <x:v>18</x:v>
      </x:c>
      <x:c r="B77" s="16" t="s"/>
      <x:c r="C77" s="16" t="s"/>
      <x:c r="D77" s="16" t="s"/>
      <x:c r="E77" s="16" t="s"/>
      <x:c r="F77" s="51" t="str">
        <x:f>IF(ROUND(E77/$K$11,2)&gt;0,ROUND(E77/$K$11,2),"")</x:f>
      </x:c>
    </x:row>
    <x:row r="78" spans="1:1024" outlineLevel="1">
      <x:c r="A78" s="50" t="n">
        <x:v>18</x:v>
      </x:c>
      <x:c r="B78" s="16" t="s"/>
      <x:c r="C78" s="16" t="s"/>
      <x:c r="D78" s="16" t="s"/>
      <x:c r="E78" s="16" t="s"/>
      <x:c r="F78" s="51" t="str">
        <x:f>IF(ROUND(E78/$K$11,2)&gt;0,ROUND(E78/$K$11,2),"")</x:f>
      </x:c>
    </x:row>
    <x:row r="79" spans="1:1024" outlineLevel="1">
      <x:c r="A79" s="50" t="n">
        <x:v>18</x:v>
      </x:c>
      <x:c r="B79" s="16" t="s"/>
      <x:c r="C79" s="16" t="s"/>
      <x:c r="D79" s="16" t="s"/>
      <x:c r="E79" s="16" t="s"/>
      <x:c r="F79" s="51" t="str">
        <x:f>IF(ROUND(E79/$K$11,2)&gt;0,ROUND(E79/$K$11,2),"")</x:f>
      </x:c>
    </x:row>
    <x:row r="80" spans="1:1024" outlineLevel="1">
      <x:c r="A80" s="50" t="n">
        <x:v>18</x:v>
      </x:c>
      <x:c r="B80" s="16" t="s"/>
      <x:c r="C80" s="16" t="s"/>
      <x:c r="D80" s="16" t="s"/>
      <x:c r="E80" s="16" t="s"/>
      <x:c r="F80" s="51" t="str">
        <x:f>IF(ROUND(E80/$K$11,2)&gt;0,ROUND(E80/$K$11,2),"")</x:f>
      </x:c>
    </x:row>
    <x:row r="81" spans="1:1024" outlineLevel="1">
      <x:c r="A81" s="50" t="n">
        <x:v>18</x:v>
      </x:c>
      <x:c r="B81" s="16" t="s"/>
      <x:c r="C81" s="16" t="s"/>
      <x:c r="D81" s="16" t="s"/>
      <x:c r="E81" s="16" t="s"/>
      <x:c r="F81" s="51" t="str">
        <x:f>IF(ROUND(E81/$K$11,2)&gt;0,ROUND(E81/$K$11,2),"")</x:f>
      </x:c>
    </x:row>
    <x:row r="82" spans="1:1024" outlineLevel="1">
      <x:c r="A82" s="50" t="n">
        <x:v>18</x:v>
      </x:c>
      <x:c r="B82" s="16" t="s"/>
      <x:c r="C82" s="16" t="s"/>
      <x:c r="D82" s="16" t="s"/>
      <x:c r="E82" s="16" t="s"/>
      <x:c r="F82" s="51" t="str">
        <x:f>IF(ROUND(E82/$K$11,2)&gt;0,ROUND(E82/$K$11,2),"")</x:f>
      </x:c>
    </x:row>
    <x:row r="83" spans="1:1024">
      <x:c r="A83" s="65" t="s"/>
      <x:c r="B83" s="65" t="s"/>
      <x:c r="C83" s="66" t="s">
        <x:v>362</x:v>
      </x:c>
      <x:c r="D83" s="65" t="s"/>
      <x:c r="E83" s="65" t="s"/>
      <x:c r="F83" s="51" t="s"/>
    </x:row>
    <x:row r="84" spans="1:1024" outlineLevel="1">
      <x:c r="A84" s="50" t="n">
        <x:v>18</x:v>
      </x:c>
      <x:c r="B84" s="17" t="str">
        <x:f>HYPERLINK("https://rabota.by/vacancy/44662739","ЭЛЕКТРОСИЛА, сеть магазинов")</x:f>
      </x:c>
      <x:c r="C84" s="16" t="s">
        <x:v>739</x:v>
      </x:c>
      <x:c r="D84" s="16" t="s">
        <x:v>723</x:v>
      </x:c>
      <x:c r="E84" s="16" t="n">
        <x:v>1400</x:v>
      </x:c>
      <x:c r="F84" s="51">
        <x:f>IF(ROUND(E84/$K$11,2)&gt;0,ROUND(E84/$K$11,2),"")</x:f>
      </x:c>
    </x:row>
    <x:row r="85" spans="1:1024" outlineLevel="1">
      <x:c r="A85" s="50" t="n">
        <x:v>18</x:v>
      </x:c>
      <x:c r="B85" s="17" t="str">
        <x:f>HYPERLINK("https://rabota.by/vacancy/48638761","PRIMUM")</x:f>
      </x:c>
      <x:c r="C85" s="16" t="s">
        <x:v>362</x:v>
      </x:c>
      <x:c r="D85" s="16" t="s">
        <x:v>723</x:v>
      </x:c>
      <x:c r="E85" s="16" t="n">
        <x:v>559</x:v>
      </x:c>
      <x:c r="F85" s="51">
        <x:f>IF(ROUND(E85/$K$11,2)&gt;0,ROUND(E85/$K$11,2),"")</x:f>
      </x:c>
    </x:row>
    <x:row r="86" spans="1:1024" outlineLevel="1">
      <x:c r="A86" s="50" t="n">
        <x:v>18</x:v>
      </x:c>
      <x:c r="B86" s="17" t="str">
        <x:f>HYPERLINK("https://rabota.by/vacancy/46606193","Группа Компаний Армтек")</x:f>
      </x:c>
      <x:c r="C86" s="16" t="s">
        <x:v>362</x:v>
      </x:c>
      <x:c r="D86" s="16" t="s">
        <x:v>723</x:v>
      </x:c>
      <x:c r="E86" s="16" t="n">
        <x:v>2150</x:v>
      </x:c>
      <x:c r="F86" s="51">
        <x:f>IF(ROUND(E86/$K$11,2)&gt;0,ROUND(E86/$K$11,2),"")</x:f>
      </x:c>
    </x:row>
    <x:row r="87" spans="1:1024" outlineLevel="1">
      <x:c r="A87" s="50" t="n">
        <x:v>18</x:v>
      </x:c>
      <x:c r="B87" s="17" t="str">
        <x:f>HYPERLINK("https://rabota.by/vacancy/47946105","Группа Компаний Армтек")</x:f>
      </x:c>
      <x:c r="C87" s="16" t="s">
        <x:v>740</x:v>
      </x:c>
      <x:c r="D87" s="16" t="s">
        <x:v>723</x:v>
      </x:c>
      <x:c r="E87" s="16" t="n">
        <x:v>2150</x:v>
      </x:c>
      <x:c r="F87" s="51">
        <x:f>IF(ROUND(E87/$K$11,2)&gt;0,ROUND(E87/$K$11,2),"")</x:f>
      </x:c>
    </x:row>
    <x:row r="88" spans="1:1024" outlineLevel="1">
      <x:c r="A88" s="50" t="n">
        <x:v>18</x:v>
      </x:c>
      <x:c r="B88" s="17" t="str">
        <x:f>HYPERLINK("https://rabota.by/vacancy/49099369","Торговая сеть «СПОРТМАСТЕР» (Беларусь)")</x:f>
      </x:c>
      <x:c r="C88" s="16" t="s">
        <x:v>362</x:v>
      </x:c>
      <x:c r="D88" s="16" t="s">
        <x:v>723</x:v>
      </x:c>
      <x:c r="E88" s="16" t="n">
        <x:v>2000</x:v>
      </x:c>
      <x:c r="F88" s="51">
        <x:f>IF(ROUND(E88/$K$11,2)&gt;0,ROUND(E88/$K$11,2),"")</x:f>
      </x:c>
    </x:row>
    <x:row r="89" spans="1:1024" outlineLevel="1">
      <x:c r="A89" s="50" t="n">
        <x:v>18</x:v>
      </x:c>
      <x:c r="B89" s="17" t="str">
        <x:f>HYPERLINK("https://rabota.by/vacancy/48613920","ТУТ и ТАМ Логистикс")</x:f>
      </x:c>
      <x:c r="C89" s="16" t="s">
        <x:v>367</x:v>
      </x:c>
      <x:c r="D89" s="16" t="s">
        <x:v>723</x:v>
      </x:c>
      <x:c r="E89" s="16" t="n">
        <x:v>2300</x:v>
      </x:c>
      <x:c r="F89" s="51">
        <x:f>IF(ROUND(E89/$K$11,2)&gt;0,ROUND(E89/$K$11,2),"")</x:f>
      </x:c>
    </x:row>
    <x:row r="90" spans="1:1024" outlineLevel="1">
      <x:c r="A90" s="50" t="n">
        <x:v>18</x:v>
      </x:c>
      <x:c r="B90" s="17" t="str">
        <x:f>HYPERLINK("https://rabota.by/vacancy/42570638","ООО Сэльвин")</x:f>
      </x:c>
      <x:c r="C90" s="16" t="s">
        <x:v>362</x:v>
      </x:c>
      <x:c r="D90" s="16" t="s">
        <x:v>723</x:v>
      </x:c>
      <x:c r="E90" s="16" t="n">
        <x:v>1161</x:v>
      </x:c>
      <x:c r="F90" s="51">
        <x:f>IF(ROUND(E90/$K$11,2)&gt;0,ROUND(E90/$K$11,2),"")</x:f>
      </x:c>
    </x:row>
    <x:row r="91" spans="1:1024" outlineLevel="1">
      <x:c r="A91" s="50" t="n">
        <x:v>18</x:v>
      </x:c>
      <x:c r="B91" s="17" t="str">
        <x:f>HYPERLINK("https://rabota.by/vacancy/48532444","ТУТ и ТАМ Логистикс")</x:f>
      </x:c>
      <x:c r="C91" s="16" t="s">
        <x:v>362</x:v>
      </x:c>
      <x:c r="D91" s="16" t="s">
        <x:v>723</x:v>
      </x:c>
      <x:c r="E91" s="16" t="n">
        <x:v>2300</x:v>
      </x:c>
      <x:c r="F91" s="51">
        <x:f>IF(ROUND(E91/$K$11,2)&gt;0,ROUND(E91/$K$11,2),"")</x:f>
      </x:c>
    </x:row>
    <x:row r="92" spans="1:1024" outlineLevel="1">
      <x:c r="A92" s="50" t="n">
        <x:v>18</x:v>
      </x:c>
      <x:c r="B92" s="17" t="str">
        <x:f>HYPERLINK("https://rabota.by/vacancy/48789206","ООО Хаммерсмит")</x:f>
      </x:c>
      <x:c r="C92" s="16" t="s">
        <x:v>362</x:v>
      </x:c>
      <x:c r="D92" s="16" t="s">
        <x:v>723</x:v>
      </x:c>
      <x:c r="E92" s="16" t="n">
        <x:v>1500</x:v>
      </x:c>
      <x:c r="F92" s="51">
        <x:f>IF(ROUND(E92/$K$11,2)&gt;0,ROUND(E92/$K$11,2),"")</x:f>
      </x:c>
    </x:row>
    <x:row r="93" spans="1:1024" outlineLevel="1">
      <x:c r="A93" s="50" t="n">
        <x:v>18</x:v>
      </x:c>
      <x:c r="B93" s="17" t="str">
        <x:f>HYPERLINK("https://rabota.by/vacancy/48394598","Торговая сеть «СПОРТМАСТЕР» (Беларусь)")</x:f>
      </x:c>
      <x:c r="C93" s="16" t="s">
        <x:v>741</x:v>
      </x:c>
      <x:c r="D93" s="16" t="s">
        <x:v>723</x:v>
      </x:c>
      <x:c r="E93" s="16" t="n">
        <x:v>2000</x:v>
      </x:c>
      <x:c r="F93" s="51">
        <x:f>IF(ROUND(E93/$K$11,2)&gt;0,ROUND(E93/$K$11,2),"")</x:f>
      </x:c>
    </x:row>
    <x:row r="94" spans="1:1024" outlineLevel="1">
      <x:c r="A94" s="50" t="n">
        <x:v>18</x:v>
      </x:c>
      <x:c r="B94" s="17" t="str">
        <x:f>HYPERLINK("https://rabota.by/vacancy/49185614","ООО Гринвет групп")</x:f>
      </x:c>
      <x:c r="C94" s="16" t="s">
        <x:v>362</x:v>
      </x:c>
      <x:c r="D94" s="16" t="s">
        <x:v>723</x:v>
      </x:c>
      <x:c r="E94" s="16" t="n">
        <x:v>1000</x:v>
      </x:c>
      <x:c r="F94" s="51">
        <x:f>IF(ROUND(E94/$K$11,2)&gt;0,ROUND(E94/$K$11,2),"")</x:f>
      </x:c>
    </x:row>
    <x:row r="95" spans="1:1024" outlineLevel="1">
      <x:c r="A95" s="50" t="n">
        <x:v>18</x:v>
      </x:c>
      <x:c r="B95" s="17" t="str">
        <x:f>HYPERLINK("https://rabota.by/vacancy/48802412","СпецТракСервис")</x:f>
      </x:c>
      <x:c r="C95" s="16" t="s">
        <x:v>362</x:v>
      </x:c>
      <x:c r="D95" s="16" t="s">
        <x:v>723</x:v>
      </x:c>
      <x:c r="E95" s="16" t="n">
        <x:v>1200</x:v>
      </x:c>
      <x:c r="F95" s="51">
        <x:f>IF(ROUND(E95/$K$11,2)&gt;0,ROUND(E95/$K$11,2),"")</x:f>
      </x:c>
    </x:row>
    <x:row r="96" spans="1:1024" outlineLevel="1">
      <x:c r="A96" s="50" t="n">
        <x:v>18</x:v>
      </x:c>
      <x:c r="B96" s="17" t="str">
        <x:f>HYPERLINK("https://rabota.by/vacancy/48391382","Чистый берег")</x:f>
      </x:c>
      <x:c r="C96" s="16" t="s">
        <x:v>362</x:v>
      </x:c>
      <x:c r="D96" s="16" t="s">
        <x:v>723</x:v>
      </x:c>
      <x:c r="E96" s="16" t="n">
        <x:v>1700</x:v>
      </x:c>
      <x:c r="F96" s="51">
        <x:f>IF(ROUND(E96/$K$11,2)&gt;0,ROUND(E96/$K$11,2),"")</x:f>
      </x:c>
    </x:row>
    <x:row r="97" spans="1:1024" outlineLevel="1">
      <x:c r="A97" s="50" t="n">
        <x:v>18</x:v>
      </x:c>
      <x:c r="B97" s="17" t="str">
        <x:f>HYPERLINK("https://rabota.by/vacancy/48879444","ООО Суфле")</x:f>
      </x:c>
      <x:c r="C97" s="16" t="s">
        <x:v>362</x:v>
      </x:c>
      <x:c r="D97" s="16" t="s">
        <x:v>723</x:v>
      </x:c>
      <x:c r="E97" s="16" t="n">
        <x:v>1500</x:v>
      </x:c>
      <x:c r="F97" s="51">
        <x:f>IF(ROUND(E97/$K$11,2)&gt;0,ROUND(E97/$K$11,2),"")</x:f>
      </x:c>
    </x:row>
    <x:row r="98" spans="1:1024" outlineLevel="1">
      <x:c r="A98" s="50" t="n">
        <x:v>18</x:v>
      </x:c>
      <x:c r="B98" s="17" t="str">
        <x:f>HYPERLINK("https://rabota.by/vacancy/48567643","ООО Автоспейс")</x:f>
      </x:c>
      <x:c r="C98" s="16" t="s">
        <x:v>362</x:v>
      </x:c>
      <x:c r="D98" s="16" t="s">
        <x:v>723</x:v>
      </x:c>
      <x:c r="E98" s="16" t="n">
        <x:v>2000</x:v>
      </x:c>
      <x:c r="F98" s="51">
        <x:f>IF(ROUND(E98/$K$11,2)&gt;0,ROUND(E98/$K$11,2),"")</x:f>
      </x:c>
    </x:row>
    <x:row r="99" spans="1:1024" outlineLevel="1">
      <x:c r="A99" s="50" t="n">
        <x:v>18</x:v>
      </x:c>
      <x:c r="B99" s="17" t="str">
        <x:f>HYPERLINK("https://rabota.by/vacancy/49186774","ООО ФАРМПРОЕКТ")</x:f>
      </x:c>
      <x:c r="C99" s="16" t="s">
        <x:v>362</x:v>
      </x:c>
      <x:c r="D99" s="16" t="s">
        <x:v>723</x:v>
      </x:c>
      <x:c r="E99" s="16" t="s">
        <x:v>742</x:v>
      </x:c>
      <x:c r="F99" s="51">
        <x:f>IF(ROUND(E99/$K$11,2)&gt;0,ROUND(E99/$K$11,2),"")</x:f>
      </x:c>
    </x:row>
    <x:row r="100" spans="1:1024" outlineLevel="1">
      <x:c r="A100" s="50" t="n">
        <x:v>18</x:v>
      </x:c>
      <x:c r="B100" s="17" t="str">
        <x:f>HYPERLINK("https://rabota.by/vacancy/48933062","ООО Гуалапак БиУай")</x:f>
      </x:c>
      <x:c r="C100" s="16" t="s">
        <x:v>743</x:v>
      </x:c>
      <x:c r="D100" s="16" t="s">
        <x:v>723</x:v>
      </x:c>
      <x:c r="E100" s="16" t="n">
        <x:v>1200</x:v>
      </x:c>
      <x:c r="F100" s="51">
        <x:f>IF(ROUND(E100/$K$11,2)&gt;0,ROUND(E100/$K$11,2),"")</x:f>
      </x:c>
    </x:row>
    <x:row r="101" spans="1:1024" outlineLevel="1">
      <x:c r="A101" s="50" t="n">
        <x:v>18</x:v>
      </x:c>
      <x:c r="B101" s="17" t="str">
        <x:f>HYPERLINK("https://hh.ru/vacancy/48390479","WILDBERRIES")</x:f>
      </x:c>
      <x:c r="C101" s="16" t="s">
        <x:v>744</x:v>
      </x:c>
      <x:c r="D101" s="16" t="s">
        <x:v>723</x:v>
      </x:c>
      <x:c r="E101" s="16" t="n">
        <x:v>1000</x:v>
      </x:c>
      <x:c r="F101" s="51">
        <x:f>IF(ROUND(E101/$K$11,2)&gt;0,ROUND(E101/$K$11,2),"")</x:f>
      </x:c>
    </x:row>
    <x:row r="102" spans="1:1024" outlineLevel="1">
      <x:c r="A102" s="50" t="n">
        <x:v>18</x:v>
      </x:c>
      <x:c r="B102" s="17" t="str">
        <x:f>HYPERLINK("https://rabota.by/vacancy/49182027","Брититрейд")</x:f>
      </x:c>
      <x:c r="C102" s="16" t="s">
        <x:v>362</x:v>
      </x:c>
      <x:c r="D102" s="16" t="s">
        <x:v>723</x:v>
      </x:c>
      <x:c r="E102" s="16" t="n">
        <x:v>950</x:v>
      </x:c>
      <x:c r="F102" s="51">
        <x:f>IF(ROUND(E102/$K$11,2)&gt;0,ROUND(E102/$K$11,2),"")</x:f>
      </x:c>
    </x:row>
    <x:row r="103" spans="1:1024" outlineLevel="1">
      <x:c r="A103" s="50" t="n">
        <x:v>18</x:v>
      </x:c>
      <x:c r="B103" s="17" t="str">
        <x:f>HYPERLINK("https://rabota.by/vacancy/49184517","ИООО Харды тулс")</x:f>
      </x:c>
      <x:c r="C103" s="16" t="s">
        <x:v>362</x:v>
      </x:c>
      <x:c r="D103" s="16" t="s">
        <x:v>723</x:v>
      </x:c>
      <x:c r="E103" s="16" t="n">
        <x:v>900</x:v>
      </x:c>
      <x:c r="F103" s="51">
        <x:f>IF(ROUND(E103/$K$11,2)&gt;0,ROUND(E103/$K$11,2),"")</x:f>
      </x:c>
    </x:row>
    <x:row r="104" spans="1:1024" outlineLevel="1">
      <x:c r="A104" s="50" t="n">
        <x:v>18</x:v>
      </x:c>
      <x:c r="B104" s="17" t="str">
        <x:f>HYPERLINK("https://rabota.by/vacancy/49195105","Мотехсавтозапчасти")</x:f>
      </x:c>
      <x:c r="C104" s="16" t="s">
        <x:v>745</x:v>
      </x:c>
      <x:c r="D104" s="16" t="s">
        <x:v>723</x:v>
      </x:c>
      <x:c r="E104" s="16" t="n">
        <x:v>800</x:v>
      </x:c>
      <x:c r="F104" s="51">
        <x:f>IF(ROUND(E104/$K$11,2)&gt;0,ROUND(E104/$K$11,2),"")</x:f>
      </x:c>
    </x:row>
    <x:row r="105" spans="1:1024" outlineLevel="1">
      <x:c r="A105" s="50" t="n">
        <x:v>18</x:v>
      </x:c>
      <x:c r="B105" s="17" t="str">
        <x:f>HYPERLINK("https://rabota.by/vacancy/49146088","21vek.by")</x:f>
      </x:c>
      <x:c r="C105" s="16" t="s">
        <x:v>746</x:v>
      </x:c>
      <x:c r="D105" s="16" t="s">
        <x:v>723</x:v>
      </x:c>
      <x:c r="E105" s="16" t="n">
        <x:v>1300</x:v>
      </x:c>
      <x:c r="F105" s="51">
        <x:f>IF(ROUND(E105/$K$11,2)&gt;0,ROUND(E105/$K$11,2),"")</x:f>
      </x:c>
    </x:row>
    <x:row r="106" spans="1:1024" outlineLevel="1">
      <x:c r="A106" s="50" t="n">
        <x:v>18</x:v>
      </x:c>
      <x:c r="B106" s="17" t="str">
        <x:f>HYPERLINK("https://rabota.by/vacancy/49030601","ООО Манувиа БЕЛ")</x:f>
      </x:c>
      <x:c r="C106" s="16" t="s">
        <x:v>747</x:v>
      </x:c>
      <x:c r="D106" s="16" t="s">
        <x:v>723</x:v>
      </x:c>
      <x:c r="E106" s="16" t="n">
        <x:v>1100</x:v>
      </x:c>
      <x:c r="F106" s="51">
        <x:f>IF(ROUND(E106/$K$11,2)&gt;0,ROUND(E106/$K$11,2),"")</x:f>
      </x:c>
    </x:row>
    <x:row r="107" spans="1:1024" outlineLevel="1">
      <x:c r="A107" s="50" t="n">
        <x:v>18</x:v>
      </x:c>
      <x:c r="B107" s="17" t="str">
        <x:f>HYPERLINK("https://rabota.by/vacancy/48659133","АвтоСтронг-М")</x:f>
      </x:c>
      <x:c r="C107" s="16" t="s">
        <x:v>748</x:v>
      </x:c>
      <x:c r="D107" s="16" t="s">
        <x:v>723</x:v>
      </x:c>
      <x:c r="E107" s="16" t="n">
        <x:v>1300</x:v>
      </x:c>
      <x:c r="F107" s="51">
        <x:f>IF(ROUND(E107/$K$11,2)&gt;0,ROUND(E107/$K$11,2),"")</x:f>
      </x:c>
    </x:row>
    <x:row r="108" spans="1:1024" outlineLevel="1">
      <x:c r="A108" s="50" t="n">
        <x:v>18</x:v>
      </x:c>
      <x:c r="B108" s="17" t="str">
        <x:f>HYPERLINK("https://rabota.by/vacancy/49183727","ООО УМС Холд")</x:f>
      </x:c>
      <x:c r="C108" s="16" t="s">
        <x:v>749</x:v>
      </x:c>
      <x:c r="D108" s="16" t="s">
        <x:v>723</x:v>
      </x:c>
      <x:c r="E108" s="16" t="n">
        <x:v>1000</x:v>
      </x:c>
      <x:c r="F108" s="51">
        <x:f>IF(ROUND(E108/$K$11,2)&gt;0,ROUND(E108/$K$11,2),"")</x:f>
      </x:c>
    </x:row>
    <x:row r="109" spans="1:1024" outlineLevel="1">
      <x:c r="A109" s="50" t="n">
        <x:v>18</x:v>
      </x:c>
      <x:c r="B109" s="17" t="str">
        <x:f>HYPERLINK("https://rabota.by/vacancy/48085461","ООО Глобал Сервис Интернешинал")</x:f>
      </x:c>
      <x:c r="C109" s="16" t="s">
        <x:v>750</x:v>
      </x:c>
      <x:c r="D109" s="16" t="s">
        <x:v>723</x:v>
      </x:c>
      <x:c r="E109" s="16" t="n">
        <x:v>3500</x:v>
      </x:c>
      <x:c r="F109" s="51">
        <x:f>IF(ROUND(E109/$K$11,2)&gt;0,ROUND(E109/$K$11,2),"")</x:f>
      </x:c>
    </x:row>
    <x:row r="110" spans="1:1024" outlineLevel="1">
      <x:c r="A110" s="50" t="n">
        <x:v>18</x:v>
      </x:c>
      <x:c r="B110" s="17" t="str">
        <x:f>HYPERLINK("https://rabota.by/vacancy/49155205","ОАО Белэнергоремналадка")</x:f>
      </x:c>
      <x:c r="C110" s="16" t="s">
        <x:v>751</x:v>
      </x:c>
      <x:c r="D110" s="16" t="s">
        <x:v>723</x:v>
      </x:c>
      <x:c r="E110" s="16" t="n">
        <x:v>817</x:v>
      </x:c>
      <x:c r="F110" s="51">
        <x:f>IF(ROUND(E110/$K$11,2)&gt;0,ROUND(E110/$K$11,2),"")</x:f>
      </x:c>
    </x:row>
    <x:row r="111" spans="1:1024" outlineLevel="1">
      <x:c r="A111" s="50" t="n">
        <x:v>18</x:v>
      </x:c>
      <x:c r="B111" s="17" t="str">
        <x:f>HYPERLINK("https://rabota.by/vacancy/42628726","ЗАО ПАТИО (сеть магазинов 5 ЭЛЕМЕНТ)")</x:f>
      </x:c>
      <x:c r="C111" s="16" t="s">
        <x:v>362</x:v>
      </x:c>
      <x:c r="D111" s="16" t="s">
        <x:v>723</x:v>
      </x:c>
      <x:c r="E111" s="16" t="s">
        <x:v>752</x:v>
      </x:c>
      <x:c r="F111" s="51">
        <x:f>IF(ROUND(E111/$K$11,2)&gt;0,ROUND(E111/$K$11,2),"")</x:f>
      </x:c>
    </x:row>
    <x:row r="112" spans="1:1024" outlineLevel="1">
      <x:c r="A112" s="50" t="n">
        <x:v>18</x:v>
      </x:c>
      <x:c r="B112" s="17" t="str">
        <x:f>HYPERLINK("https://rabota.by/vacancy/48742318","ООО Сиванабел")</x:f>
      </x:c>
      <x:c r="C112" s="16" t="s">
        <x:v>753</x:v>
      </x:c>
      <x:c r="D112" s="16" t="s">
        <x:v>723</x:v>
      </x:c>
      <x:c r="E112" s="16" t="n">
        <x:v>1000</x:v>
      </x:c>
      <x:c r="F112" s="51">
        <x:f>IF(ROUND(E112/$K$11,2)&gt;0,ROUND(E112/$K$11,2),"")</x:f>
      </x:c>
    </x:row>
    <x:row r="113" spans="1:1024" outlineLevel="1">
      <x:c r="A113" s="50" t="n">
        <x:v>18</x:v>
      </x:c>
      <x:c r="B113" s="17" t="str">
        <x:f>HYPERLINK("https://rabota.by/vacancy/49038498","ООО ТД Комплект")</x:f>
      </x:c>
      <x:c r="C113" s="16" t="s">
        <x:v>754</x:v>
      </x:c>
      <x:c r="D113" s="16" t="s">
        <x:v>723</x:v>
      </x:c>
      <x:c r="E113" s="16" t="n">
        <x:v>2000</x:v>
      </x:c>
      <x:c r="F113" s="51">
        <x:f>IF(ROUND(E113/$K$11,2)&gt;0,ROUND(E113/$K$11,2),"")</x:f>
      </x:c>
    </x:row>
    <x:row r="114" spans="1:1024" outlineLevel="1">
      <x:c r="A114" s="50" t="n">
        <x:v>18</x:v>
      </x:c>
      <x:c r="B114" s="17" t="str">
        <x:f>HYPERLINK("https://rabota.by/vacancy/48400467","ООО Санта Ритейл")</x:f>
      </x:c>
      <x:c r="C114" s="16" t="s">
        <x:v>362</x:v>
      </x:c>
      <x:c r="D114" s="16" t="s">
        <x:v>723</x:v>
      </x:c>
      <x:c r="E114" s="16" t="n">
        <x:v>1400</x:v>
      </x:c>
      <x:c r="F114" s="51">
        <x:f>IF(ROUND(E114/$K$11,2)&gt;0,ROUND(E114/$K$11,2),"")</x:f>
      </x:c>
    </x:row>
    <x:row r="115" spans="1:1024" outlineLevel="1">
      <x:c r="A115" s="50" t="n">
        <x:v>18</x:v>
      </x:c>
      <x:c r="B115" s="17" t="str">
        <x:f>HYPERLINK("https://rabota.by/vacancy/49135556","ОАО Ферейн")</x:f>
      </x:c>
      <x:c r="C115" s="16" t="s">
        <x:v>755</x:v>
      </x:c>
      <x:c r="D115" s="16" t="s">
        <x:v>723</x:v>
      </x:c>
      <x:c r="E115" s="16" t="s">
        <x:v>756</x:v>
      </x:c>
      <x:c r="F115" s="51">
        <x:f>IF(ROUND(E115/$K$11,2)&gt;0,ROUND(E115/$K$11,2),"")</x:f>
      </x:c>
    </x:row>
    <x:row r="116" spans="1:1024" outlineLevel="1">
      <x:c r="A116" s="50" t="n">
        <x:v>18</x:v>
      </x:c>
      <x:c r="B116" s="16" t="s"/>
      <x:c r="C116" s="16" t="s"/>
      <x:c r="D116" s="16" t="s"/>
      <x:c r="E116" s="16" t="s"/>
      <x:c r="F116" s="51" t="str">
        <x:f>IF(ROUND(E116/$K$11,2)&gt;0,ROUND(E116/$K$11,2),"")</x:f>
      </x:c>
    </x:row>
    <x:row r="117" spans="1:1024" outlineLevel="1">
      <x:c r="A117" s="50" t="n">
        <x:v>18</x:v>
      </x:c>
      <x:c r="B117" s="16" t="s"/>
      <x:c r="C117" s="16" t="s"/>
      <x:c r="D117" s="16" t="s"/>
      <x:c r="E117" s="16" t="s"/>
      <x:c r="F117" s="51" t="str">
        <x:f>IF(ROUND(E117/$K$11,2)&gt;0,ROUND(E117/$K$11,2),"")</x:f>
      </x:c>
    </x:row>
    <x:row r="118" spans="1:1024" outlineLevel="1">
      <x:c r="A118" s="50" t="n">
        <x:v>18</x:v>
      </x:c>
      <x:c r="B118" s="16" t="s"/>
      <x:c r="C118" s="16" t="s"/>
      <x:c r="D118" s="16" t="s"/>
      <x:c r="E118" s="16" t="s"/>
      <x:c r="F118" s="51" t="str">
        <x:f>IF(ROUND(E118/$K$11,2)&gt;0,ROUND(E118/$K$11,2),"")</x:f>
      </x:c>
    </x:row>
    <x:row r="119" spans="1:1024" outlineLevel="1">
      <x:c r="A119" s="50" t="n">
        <x:v>18</x:v>
      </x:c>
      <x:c r="B119" s="16" t="s"/>
      <x:c r="C119" s="16" t="s"/>
      <x:c r="D119" s="16" t="s"/>
      <x:c r="E119" s="16" t="s"/>
      <x:c r="F119" s="51" t="str">
        <x:f>IF(ROUND(E119/$K$11,2)&gt;0,ROUND(E119/$K$11,2),"")</x:f>
      </x:c>
    </x:row>
    <x:row r="120" spans="1:1024" outlineLevel="1">
      <x:c r="A120" s="50" t="n">
        <x:v>18</x:v>
      </x:c>
      <x:c r="B120" s="16" t="s"/>
      <x:c r="C120" s="16" t="s"/>
      <x:c r="D120" s="16" t="s"/>
      <x:c r="E120" s="16" t="s"/>
      <x:c r="F120" s="51" t="str">
        <x:f>IF(ROUND(E120/$K$11,2)&gt;0,ROUND(E120/$K$11,2),"")</x:f>
      </x:c>
    </x:row>
    <x:row r="121" spans="1:1024" outlineLevel="1">
      <x:c r="A121" s="50" t="n">
        <x:v>18</x:v>
      </x:c>
      <x:c r="B121" s="16" t="s"/>
      <x:c r="C121" s="16" t="s"/>
      <x:c r="D121" s="16" t="s"/>
      <x:c r="E121" s="16" t="s"/>
      <x:c r="F121" s="51" t="str">
        <x:f>IF(ROUND(E121/$K$11,2)&gt;0,ROUND(E121/$K$11,2),"")</x:f>
      </x:c>
    </x:row>
    <x:row r="122" spans="1:1024" outlineLevel="1">
      <x:c r="A122" s="50" t="n">
        <x:v>18</x:v>
      </x:c>
      <x:c r="B122" s="16" t="s"/>
      <x:c r="C122" s="16" t="s"/>
      <x:c r="D122" s="16" t="s"/>
      <x:c r="E122" s="16" t="s"/>
      <x:c r="F122" s="51" t="str">
        <x:f>IF(ROUND(E122/$K$11,2)&gt;0,ROUND(E122/$K$11,2),"")</x:f>
      </x:c>
    </x:row>
    <x:row r="123" spans="1:1024" outlineLevel="1">
      <x:c r="A123" s="50" t="n">
        <x:v>18</x:v>
      </x:c>
      <x:c r="B123" s="16" t="s"/>
      <x:c r="C123" s="16" t="s"/>
      <x:c r="D123" s="16" t="s"/>
      <x:c r="E123" s="16" t="s"/>
      <x:c r="F123" s="51" t="str">
        <x:f>IF(ROUND(E123/$K$11,2)&gt;0,ROUND(E123/$K$11,2),"")</x:f>
      </x:c>
    </x:row>
    <x:row r="124" spans="1:1024" outlineLevel="1">
      <x:c r="A124" s="50" t="n">
        <x:v>18</x:v>
      </x:c>
      <x:c r="B124" s="16" t="s"/>
      <x:c r="C124" s="16" t="s"/>
      <x:c r="D124" s="16" t="s"/>
      <x:c r="E124" s="16" t="s"/>
      <x:c r="F124" s="51" t="str">
        <x:f>IF(ROUND(E124/$K$11,2)&gt;0,ROUND(E124/$K$11,2),"")</x:f>
      </x:c>
    </x:row>
    <x:row r="125" spans="1:1024" outlineLevel="1">
      <x:c r="A125" s="50" t="n">
        <x:v>18</x:v>
      </x:c>
      <x:c r="B125" s="16" t="s"/>
      <x:c r="C125" s="16" t="s"/>
      <x:c r="D125" s="16" t="s"/>
      <x:c r="E125" s="16" t="s"/>
      <x:c r="F125" s="51" t="str">
        <x:f>IF(ROUND(E125/$K$11,2)&gt;0,ROUND(E125/$K$11,2),"")</x:f>
      </x:c>
    </x:row>
    <x:row r="126" spans="1:1024" outlineLevel="1">
      <x:c r="A126" s="50" t="n">
        <x:v>18</x:v>
      </x:c>
      <x:c r="B126" s="16" t="s"/>
      <x:c r="C126" s="16" t="s"/>
      <x:c r="D126" s="16" t="s"/>
      <x:c r="E126" s="16" t="s"/>
      <x:c r="F126" s="51" t="str">
        <x:f>IF(ROUND(E126/$K$11,2)&gt;0,ROUND(E126/$K$11,2),"")</x:f>
      </x:c>
    </x:row>
    <x:row r="127" spans="1:1024" outlineLevel="1">
      <x:c r="A127" s="50" t="n">
        <x:v>18</x:v>
      </x:c>
      <x:c r="B127" s="16" t="s"/>
      <x:c r="C127" s="16" t="s"/>
      <x:c r="D127" s="16" t="s"/>
      <x:c r="E127" s="16" t="s"/>
      <x:c r="F127" s="51" t="str">
        <x:f>IF(ROUND(E127/$K$11,2)&gt;0,ROUND(E127/$K$11,2),"")</x:f>
      </x:c>
    </x:row>
    <x:row r="128" spans="1:1024" outlineLevel="1">
      <x:c r="A128" s="50" t="n">
        <x:v>18</x:v>
      </x:c>
      <x:c r="B128" s="16" t="s"/>
      <x:c r="C128" s="16" t="s"/>
      <x:c r="D128" s="16" t="s"/>
      <x:c r="E128" s="16" t="s"/>
      <x:c r="F128" s="51" t="str">
        <x:f>IF(ROUND(E128/$K$11,2)&gt;0,ROUND(E128/$K$11,2),"")</x:f>
      </x:c>
    </x:row>
    <x:row r="129" spans="1:1024" outlineLevel="1">
      <x:c r="A129" s="50" t="n">
        <x:v>18</x:v>
      </x:c>
      <x:c r="B129" s="16" t="s"/>
      <x:c r="C129" s="16" t="s"/>
      <x:c r="D129" s="16" t="s"/>
      <x:c r="E129" s="16" t="s"/>
      <x:c r="F129" s="51" t="str">
        <x:f>IF(ROUND(E129/$K$11,2)&gt;0,ROUND(E129/$K$11,2),"")</x:f>
      </x:c>
    </x:row>
    <x:row r="130" spans="1:1024" outlineLevel="1">
      <x:c r="A130" s="50" t="n">
        <x:v>18</x:v>
      </x:c>
      <x:c r="B130" s="16" t="s"/>
      <x:c r="C130" s="16" t="s"/>
      <x:c r="D130" s="16" t="s"/>
      <x:c r="E130" s="16" t="s"/>
      <x:c r="F130" s="51" t="str">
        <x:f>IF(ROUND(E130/$K$11,2)&gt;0,ROUND(E130/$K$11,2),"")</x:f>
      </x:c>
    </x:row>
    <x:row r="131" spans="1:1024" outlineLevel="1">
      <x:c r="A131" s="50" t="n">
        <x:v>18</x:v>
      </x:c>
      <x:c r="B131" s="16" t="s"/>
      <x:c r="C131" s="16" t="s"/>
      <x:c r="D131" s="16" t="s"/>
      <x:c r="E131" s="16" t="s"/>
      <x:c r="F131" s="51" t="str">
        <x:f>IF(ROUND(E131/$K$11,2)&gt;0,ROUND(E131/$K$11,2),"")</x:f>
      </x:c>
    </x:row>
    <x:row r="132" spans="1:1024" outlineLevel="1">
      <x:c r="A132" s="50" t="n">
        <x:v>18</x:v>
      </x:c>
      <x:c r="B132" s="16" t="s"/>
      <x:c r="C132" s="16" t="s"/>
      <x:c r="D132" s="16" t="s"/>
      <x:c r="E132" s="16" t="s"/>
      <x:c r="F132" s="51" t="str">
        <x:f>IF(ROUND(E132/$K$11,2)&gt;0,ROUND(E132/$K$11,2),"")</x:f>
      </x:c>
    </x:row>
    <x:row r="133" spans="1:1024" outlineLevel="1">
      <x:c r="A133" s="50" t="n">
        <x:v>18</x:v>
      </x:c>
      <x:c r="B133" s="16" t="s"/>
      <x:c r="C133" s="16" t="s"/>
      <x:c r="D133" s="16" t="s"/>
      <x:c r="E133" s="16" t="s"/>
      <x:c r="F133" s="51" t="str">
        <x:f>IF(ROUND(E133/$K$11,2)&gt;0,ROUND(E133/$K$11,2),"")</x:f>
      </x:c>
    </x:row>
    <x:row r="134" spans="1:1024" outlineLevel="1">
      <x:c r="A134" s="50" t="n">
        <x:v>18</x:v>
      </x:c>
      <x:c r="B134" s="16" t="s"/>
      <x:c r="C134" s="16" t="s"/>
      <x:c r="D134" s="16" t="s"/>
      <x:c r="E134" s="16" t="s"/>
      <x:c r="F134" s="51" t="str">
        <x:f>IF(ROUND(E134/$K$11,2)&gt;0,ROUND(E134/$K$11,2),"")</x:f>
      </x:c>
    </x:row>
    <x:row r="135" spans="1:1024" outlineLevel="1">
      <x:c r="A135" s="50" t="n">
        <x:v>18</x:v>
      </x:c>
      <x:c r="B135" s="16" t="s"/>
      <x:c r="C135" s="16" t="s"/>
      <x:c r="D135" s="16" t="s"/>
      <x:c r="E135" s="16" t="s"/>
      <x:c r="F135" s="51" t="str">
        <x:f>IF(ROUND(E135/$K$11,2)&gt;0,ROUND(E135/$K$11,2),"")</x:f>
      </x:c>
    </x:row>
    <x:row r="136" spans="1:1024" outlineLevel="1">
      <x:c r="A136" s="50" t="n">
        <x:v>18</x:v>
      </x:c>
      <x:c r="B136" s="16" t="s"/>
      <x:c r="C136" s="16" t="s"/>
      <x:c r="D136" s="16" t="s"/>
      <x:c r="E136" s="16" t="s"/>
      <x:c r="F136" s="51" t="str">
        <x:f>IF(ROUND(E136/$K$11,2)&gt;0,ROUND(E136/$K$11,2),"")</x:f>
      </x:c>
    </x:row>
    <x:row r="137" spans="1:1024" outlineLevel="1">
      <x:c r="A137" s="50" t="n">
        <x:v>18</x:v>
      </x:c>
      <x:c r="B137" s="16" t="s"/>
      <x:c r="C137" s="16" t="s"/>
      <x:c r="D137" s="16" t="s"/>
      <x:c r="E137" s="16" t="s"/>
      <x:c r="F137" s="51" t="str">
        <x:f>IF(ROUND(E137/$K$11,2)&gt;0,ROUND(E137/$K$11,2),"")</x:f>
      </x:c>
    </x:row>
    <x:row r="138" spans="1:1024" outlineLevel="1">
      <x:c r="A138" s="50" t="n">
        <x:v>18</x:v>
      </x:c>
      <x:c r="B138" s="16" t="s"/>
      <x:c r="C138" s="16" t="s"/>
      <x:c r="D138" s="16" t="s"/>
      <x:c r="E138" s="16" t="s"/>
      <x:c r="F138" s="51" t="str">
        <x:f>IF(ROUND(E138/$K$11,2)&gt;0,ROUND(E138/$K$11,2),"")</x:f>
      </x:c>
    </x:row>
    <x:row r="139" spans="1:1024" outlineLevel="1">
      <x:c r="A139" s="50" t="n">
        <x:v>18</x:v>
      </x:c>
      <x:c r="B139" s="16" t="s"/>
      <x:c r="C139" s="16" t="s"/>
      <x:c r="D139" s="16" t="s"/>
      <x:c r="E139" s="16" t="s"/>
      <x:c r="F139" s="51" t="str">
        <x:f>IF(ROUND(E139/$K$11,2)&gt;0,ROUND(E139/$K$11,2),"")</x:f>
      </x:c>
    </x:row>
    <x:row r="140" spans="1:1024" outlineLevel="1">
      <x:c r="A140" s="50" t="n">
        <x:v>18</x:v>
      </x:c>
      <x:c r="B140" s="16" t="s"/>
      <x:c r="C140" s="16" t="s"/>
      <x:c r="D140" s="16" t="s"/>
      <x:c r="E140" s="16" t="s"/>
      <x:c r="F140" s="51" t="str">
        <x:f>IF(ROUND(E140/$K$11,2)&gt;0,ROUND(E140/$K$11,2),"")</x:f>
      </x:c>
    </x:row>
    <x:row r="141" spans="1:1024" outlineLevel="1">
      <x:c r="A141" s="50" t="n">
        <x:v>18</x:v>
      </x:c>
      <x:c r="B141" s="16" t="s"/>
      <x:c r="C141" s="16" t="s"/>
      <x:c r="D141" s="16" t="s"/>
      <x:c r="E141" s="16" t="s"/>
      <x:c r="F141" s="51" t="str">
        <x:f>IF(ROUND(E141/$K$11,2)&gt;0,ROUND(E141/$K$11,2),"")</x:f>
      </x:c>
    </x:row>
    <x:row r="142" spans="1:1024" outlineLevel="1">
      <x:c r="A142" s="50" t="n">
        <x:v>18</x:v>
      </x:c>
      <x:c r="B142" s="16" t="s"/>
      <x:c r="C142" s="16" t="s"/>
      <x:c r="D142" s="16" t="s"/>
      <x:c r="E142" s="16" t="s"/>
      <x:c r="F142" s="51" t="str">
        <x:f>IF(ROUND(E142/$K$11,2)&gt;0,ROUND(E142/$K$11,2),"")</x:f>
      </x:c>
    </x:row>
    <x:row r="143" spans="1:1024" outlineLevel="1">
      <x:c r="A143" s="50" t="n">
        <x:v>18</x:v>
      </x:c>
      <x:c r="B143" s="16" t="s"/>
      <x:c r="C143" s="16" t="s"/>
      <x:c r="D143" s="16" t="s"/>
      <x:c r="E143" s="16" t="s"/>
      <x:c r="F143" s="51" t="str">
        <x:f>IF(ROUND(E143/$K$11,2)&gt;0,ROUND(E143/$K$11,2),"")</x:f>
      </x:c>
    </x:row>
    <x:row r="144" spans="1:1024">
      <x:c r="A144" s="65" t="s"/>
      <x:c r="B144" s="65" t="s"/>
      <x:c r="C144" s="66" t="s">
        <x:v>757</x:v>
      </x:c>
      <x:c r="D144" s="65" t="s"/>
      <x:c r="E144" s="65" t="s"/>
      <x:c r="F144" s="51" t="s"/>
    </x:row>
    <x:row r="145" spans="1:1024" outlineLevel="1">
      <x:c r="A145" s="50" t="n">
        <x:v>18</x:v>
      </x:c>
      <x:c r="B145" s="16" t="s"/>
      <x:c r="C145" s="16" t="s"/>
      <x:c r="D145" s="16" t="s"/>
      <x:c r="E145" s="16" t="s"/>
      <x:c r="F145" s="51" t="str">
        <x:f>IF(ROUND(E145/$K$11,2)&gt;0,ROUND(E145/$K$11,2),"")</x:f>
      </x:c>
    </x:row>
    <x:row r="146" spans="1:1024" outlineLevel="1">
      <x:c r="A146" s="50" t="n">
        <x:v>18</x:v>
      </x:c>
      <x:c r="B146" s="16" t="s"/>
      <x:c r="C146" s="16" t="s"/>
      <x:c r="D146" s="16" t="s"/>
      <x:c r="E146" s="16" t="s"/>
      <x:c r="F146" s="51" t="str">
        <x:f>IF(ROUND(E146/$K$11,2)&gt;0,ROUND(E146/$K$11,2),"")</x:f>
      </x:c>
    </x:row>
    <x:row r="147" spans="1:1024" outlineLevel="1">
      <x:c r="A147" s="50" t="n">
        <x:v>18</x:v>
      </x:c>
      <x:c r="B147" s="16" t="s"/>
      <x:c r="C147" s="16" t="s"/>
      <x:c r="D147" s="16" t="s"/>
      <x:c r="E147" s="16" t="s"/>
      <x:c r="F147" s="51" t="str">
        <x:f>IF(ROUND(E147/$K$11,2)&gt;0,ROUND(E147/$K$11,2),"")</x:f>
      </x:c>
    </x:row>
    <x:row r="148" spans="1:1024" outlineLevel="1">
      <x:c r="A148" s="50" t="n">
        <x:v>18</x:v>
      </x:c>
      <x:c r="B148" s="16" t="s"/>
      <x:c r="C148" s="16" t="s"/>
      <x:c r="D148" s="16" t="s"/>
      <x:c r="E148" s="16" t="s"/>
      <x:c r="F148" s="51" t="str">
        <x:f>IF(ROUND(E148/$K$11,2)&gt;0,ROUND(E148/$K$11,2),"")</x:f>
      </x:c>
    </x:row>
    <x:row r="149" spans="1:1024" outlineLevel="1">
      <x:c r="A149" s="50" t="n">
        <x:v>18</x:v>
      </x:c>
      <x:c r="B149" s="16" t="s"/>
      <x:c r="C149" s="16" t="s"/>
      <x:c r="D149" s="16" t="s"/>
      <x:c r="E149" s="16" t="s"/>
      <x:c r="F149" s="51" t="str">
        <x:f>IF(ROUND(E149/$K$11,2)&gt;0,ROUND(E149/$K$11,2),"")</x:f>
      </x:c>
    </x:row>
    <x:row r="150" spans="1:1024" outlineLevel="1">
      <x:c r="A150" s="50" t="n">
        <x:v>18</x:v>
      </x:c>
      <x:c r="B150" s="16" t="s"/>
      <x:c r="C150" s="16" t="s"/>
      <x:c r="D150" s="16" t="s"/>
      <x:c r="E150" s="16" t="s"/>
      <x:c r="F150" s="51" t="str">
        <x:f>IF(ROUND(E150/$K$11,2)&gt;0,ROUND(E150/$K$11,2),"")</x:f>
      </x:c>
    </x:row>
    <x:row r="151" spans="1:1024" outlineLevel="1">
      <x:c r="A151" s="50" t="n">
        <x:v>18</x:v>
      </x:c>
      <x:c r="B151" s="16" t="s"/>
      <x:c r="C151" s="16" t="s"/>
      <x:c r="D151" s="16" t="s"/>
      <x:c r="E151" s="16" t="s"/>
      <x:c r="F151" s="51" t="str">
        <x:f>IF(ROUND(E151/$K$11,2)&gt;0,ROUND(E151/$K$11,2),"")</x:f>
      </x:c>
    </x:row>
    <x:row r="152" spans="1:1024" outlineLevel="1">
      <x:c r="A152" s="50" t="n">
        <x:v>18</x:v>
      </x:c>
      <x:c r="B152" s="16" t="s"/>
      <x:c r="C152" s="16" t="s"/>
      <x:c r="D152" s="16" t="s"/>
      <x:c r="E152" s="16" t="s"/>
      <x:c r="F152" s="51" t="str">
        <x:f>IF(ROUND(E152/$K$11,2)&gt;0,ROUND(E152/$K$11,2),"")</x:f>
      </x:c>
    </x:row>
    <x:row r="153" spans="1:1024" outlineLevel="1">
      <x:c r="A153" s="50" t="n">
        <x:v>18</x:v>
      </x:c>
      <x:c r="B153" s="16" t="s"/>
      <x:c r="C153" s="16" t="s"/>
      <x:c r="D153" s="16" t="s"/>
      <x:c r="E153" s="16" t="s"/>
      <x:c r="F153" s="51" t="str">
        <x:f>IF(ROUND(E153/$K$11,2)&gt;0,ROUND(E153/$K$11,2),"")</x:f>
      </x:c>
    </x:row>
    <x:row r="154" spans="1:1024" outlineLevel="1">
      <x:c r="A154" s="50" t="n">
        <x:v>18</x:v>
      </x:c>
      <x:c r="B154" s="16" t="s"/>
      <x:c r="C154" s="16" t="s"/>
      <x:c r="D154" s="16" t="s"/>
      <x:c r="E154" s="16" t="s"/>
      <x:c r="F154" s="51" t="str">
        <x:f>IF(ROUND(E154/$K$11,2)&gt;0,ROUND(E154/$K$11,2),"")</x:f>
      </x:c>
    </x:row>
    <x:row r="155" spans="1:1024" outlineLevel="1">
      <x:c r="A155" s="50" t="n">
        <x:v>18</x:v>
      </x:c>
      <x:c r="B155" s="16" t="s"/>
      <x:c r="C155" s="16" t="s"/>
      <x:c r="D155" s="16" t="s"/>
      <x:c r="E155" s="16" t="s"/>
      <x:c r="F155" s="51" t="str">
        <x:f>IF(ROUND(E155/$K$11,2)&gt;0,ROUND(E155/$K$11,2),"")</x:f>
      </x:c>
    </x:row>
    <x:row r="156" spans="1:1024" outlineLevel="1">
      <x:c r="A156" s="50" t="n">
        <x:v>18</x:v>
      </x:c>
      <x:c r="B156" s="16" t="s"/>
      <x:c r="C156" s="16" t="s"/>
      <x:c r="D156" s="16" t="s"/>
      <x:c r="E156" s="16" t="s"/>
      <x:c r="F156" s="51" t="str">
        <x:f>IF(ROUND(E156/$K$11,2)&gt;0,ROUND(E156/$K$11,2),"")</x:f>
      </x:c>
    </x:row>
    <x:row r="157" spans="1:1024" outlineLevel="1">
      <x:c r="A157" s="50" t="n">
        <x:v>18</x:v>
      </x:c>
      <x:c r="B157" s="16" t="s"/>
      <x:c r="C157" s="16" t="s"/>
      <x:c r="D157" s="16" t="s"/>
      <x:c r="E157" s="16" t="s"/>
      <x:c r="F157" s="51" t="str">
        <x:f>IF(ROUND(E157/$K$11,2)&gt;0,ROUND(E157/$K$11,2),"")</x:f>
      </x:c>
    </x:row>
    <x:row r="158" spans="1:1024" outlineLevel="1">
      <x:c r="A158" s="50" t="n">
        <x:v>18</x:v>
      </x:c>
      <x:c r="B158" s="16" t="s"/>
      <x:c r="C158" s="16" t="s"/>
      <x:c r="D158" s="16" t="s"/>
      <x:c r="E158" s="16" t="s"/>
      <x:c r="F158" s="51" t="str">
        <x:f>IF(ROUND(E158/$K$11,2)&gt;0,ROUND(E158/$K$11,2),"")</x:f>
      </x:c>
    </x:row>
    <x:row r="159" spans="1:1024" outlineLevel="1">
      <x:c r="A159" s="50" t="n">
        <x:v>18</x:v>
      </x:c>
      <x:c r="B159" s="16" t="s"/>
      <x:c r="C159" s="16" t="s"/>
      <x:c r="D159" s="16" t="s"/>
      <x:c r="E159" s="16" t="s"/>
      <x:c r="F159" s="51" t="str">
        <x:f>IF(ROUND(E159/$K$11,2)&gt;0,ROUND(E159/$K$11,2),"")</x:f>
      </x:c>
    </x:row>
    <x:row r="160" spans="1:1024" outlineLevel="1">
      <x:c r="A160" s="50" t="n">
        <x:v>18</x:v>
      </x:c>
      <x:c r="B160" s="16" t="s"/>
      <x:c r="C160" s="16" t="s"/>
      <x:c r="D160" s="16" t="s"/>
      <x:c r="E160" s="16" t="s"/>
      <x:c r="F160" s="51" t="str">
        <x:f>IF(ROUND(E160/$K$11,2)&gt;0,ROUND(E160/$K$11,2),"")</x:f>
      </x:c>
    </x:row>
    <x:row r="161" spans="1:1024" outlineLevel="1">
      <x:c r="A161" s="50" t="n">
        <x:v>18</x:v>
      </x:c>
      <x:c r="B161" s="16" t="s"/>
      <x:c r="C161" s="16" t="s"/>
      <x:c r="D161" s="16" t="s"/>
      <x:c r="E161" s="16" t="s"/>
      <x:c r="F161" s="51" t="str">
        <x:f>IF(ROUND(E161/$K$11,2)&gt;0,ROUND(E161/$K$11,2),"")</x:f>
      </x:c>
    </x:row>
    <x:row r="162" spans="1:1024" outlineLevel="1">
      <x:c r="A162" s="50" t="n">
        <x:v>18</x:v>
      </x:c>
      <x:c r="B162" s="16" t="s"/>
      <x:c r="C162" s="16" t="s"/>
      <x:c r="D162" s="16" t="s"/>
      <x:c r="E162" s="16" t="s"/>
      <x:c r="F162" s="51" t="str">
        <x:f>IF(ROUND(E162/$K$11,2)&gt;0,ROUND(E162/$K$11,2),"")</x:f>
      </x:c>
    </x:row>
    <x:row r="163" spans="1:1024" outlineLevel="1">
      <x:c r="A163" s="50" t="n">
        <x:v>18</x:v>
      </x:c>
      <x:c r="B163" s="16" t="s"/>
      <x:c r="C163" s="16" t="s"/>
      <x:c r="D163" s="16" t="s"/>
      <x:c r="E163" s="16" t="s"/>
      <x:c r="F163" s="51" t="str">
        <x:f>IF(ROUND(E163/$K$11,2)&gt;0,ROUND(E163/$K$11,2),"")</x:f>
      </x:c>
    </x:row>
    <x:row r="164" spans="1:1024" outlineLevel="1">
      <x:c r="A164" s="50" t="n">
        <x:v>18</x:v>
      </x:c>
      <x:c r="B164" s="16" t="s"/>
      <x:c r="C164" s="16" t="s"/>
      <x:c r="D164" s="16" t="s"/>
      <x:c r="E164" s="16" t="s"/>
      <x:c r="F164" s="51" t="str">
        <x:f>IF(ROUND(E164/$K$11,2)&gt;0,ROUND(E164/$K$11,2),"")</x:f>
      </x:c>
    </x:row>
    <x:row r="165" spans="1:1024" outlineLevel="1">
      <x:c r="A165" s="50" t="n">
        <x:v>18</x:v>
      </x:c>
      <x:c r="B165" s="16" t="s"/>
      <x:c r="C165" s="16" t="s"/>
      <x:c r="D165" s="16" t="s"/>
      <x:c r="E165" s="16" t="s"/>
      <x:c r="F165" s="51" t="str">
        <x:f>IF(ROUND(E165/$K$11,2)&gt;0,ROUND(E165/$K$11,2),"")</x:f>
      </x:c>
    </x:row>
    <x:row r="166" spans="1:1024" outlineLevel="1">
      <x:c r="A166" s="50" t="n">
        <x:v>18</x:v>
      </x:c>
      <x:c r="B166" s="16" t="s"/>
      <x:c r="C166" s="16" t="s"/>
      <x:c r="D166" s="16" t="s"/>
      <x:c r="E166" s="16" t="s"/>
      <x:c r="F166" s="51" t="str">
        <x:f>IF(ROUND(E166/$K$11,2)&gt;0,ROUND(E166/$K$11,2),"")</x:f>
      </x:c>
    </x:row>
    <x:row r="167" spans="1:1024" outlineLevel="1">
      <x:c r="A167" s="50" t="n">
        <x:v>18</x:v>
      </x:c>
      <x:c r="B167" s="16" t="s"/>
      <x:c r="C167" s="16" t="s"/>
      <x:c r="D167" s="16" t="s"/>
      <x:c r="E167" s="16" t="s"/>
      <x:c r="F167" s="51" t="str">
        <x:f>IF(ROUND(E167/$K$11,2)&gt;0,ROUND(E167/$K$11,2),"")</x:f>
      </x:c>
    </x:row>
    <x:row r="168" spans="1:1024" outlineLevel="1">
      <x:c r="A168" s="50" t="n">
        <x:v>18</x:v>
      </x:c>
      <x:c r="B168" s="16" t="s"/>
      <x:c r="C168" s="16" t="s"/>
      <x:c r="D168" s="16" t="s"/>
      <x:c r="E168" s="16" t="s"/>
      <x:c r="F168" s="51" t="str">
        <x:f>IF(ROUND(E168/$K$11,2)&gt;0,ROUND(E168/$K$11,2),"")</x:f>
      </x:c>
    </x:row>
    <x:row r="169" spans="1:1024" outlineLevel="1">
      <x:c r="A169" s="50" t="n">
        <x:v>18</x:v>
      </x:c>
      <x:c r="B169" s="16" t="s"/>
      <x:c r="C169" s="16" t="s"/>
      <x:c r="D169" s="16" t="s"/>
      <x:c r="E169" s="16" t="s"/>
      <x:c r="F169" s="51" t="str">
        <x:f>IF(ROUND(E169/$K$11,2)&gt;0,ROUND(E169/$K$11,2),"")</x:f>
      </x:c>
    </x:row>
    <x:row r="170" spans="1:1024" outlineLevel="1">
      <x:c r="A170" s="50" t="n">
        <x:v>18</x:v>
      </x:c>
      <x:c r="B170" s="16" t="s"/>
      <x:c r="C170" s="16" t="s"/>
      <x:c r="D170" s="16" t="s"/>
      <x:c r="E170" s="16" t="s"/>
      <x:c r="F170" s="51" t="str">
        <x:f>IF(ROUND(E170/$K$11,2)&gt;0,ROUND(E170/$K$11,2),"")</x:f>
      </x:c>
    </x:row>
    <x:row r="171" spans="1:1024" outlineLevel="1">
      <x:c r="A171" s="50" t="n">
        <x:v>18</x:v>
      </x:c>
      <x:c r="B171" s="16" t="s"/>
      <x:c r="C171" s="16" t="s"/>
      <x:c r="D171" s="16" t="s"/>
      <x:c r="E171" s="16" t="s"/>
      <x:c r="F171" s="51" t="str">
        <x:f>IF(ROUND(E171/$K$11,2)&gt;0,ROUND(E171/$K$11,2),"")</x:f>
      </x:c>
    </x:row>
    <x:row r="172" spans="1:1024" outlineLevel="1">
      <x:c r="A172" s="50" t="n">
        <x:v>18</x:v>
      </x:c>
      <x:c r="B172" s="16" t="s"/>
      <x:c r="C172" s="16" t="s"/>
      <x:c r="D172" s="16" t="s"/>
      <x:c r="E172" s="16" t="s"/>
      <x:c r="F172" s="51" t="str">
        <x:f>IF(ROUND(E172/$K$11,2)&gt;0,ROUND(E172/$K$11,2),"")</x:f>
      </x:c>
    </x:row>
    <x:row r="173" spans="1:1024" outlineLevel="1">
      <x:c r="A173" s="50" t="n">
        <x:v>18</x:v>
      </x:c>
      <x:c r="B173" s="16" t="s"/>
      <x:c r="C173" s="16" t="s"/>
      <x:c r="D173" s="16" t="s"/>
      <x:c r="E173" s="16" t="s"/>
      <x:c r="F173" s="51" t="str">
        <x:f>IF(ROUND(E173/$K$11,2)&gt;0,ROUND(E173/$K$11,2),"")</x:f>
      </x:c>
    </x:row>
    <x:row r="174" spans="1:1024" outlineLevel="1">
      <x:c r="A174" s="50" t="n">
        <x:v>18</x:v>
      </x:c>
      <x:c r="B174" s="16" t="s"/>
      <x:c r="C174" s="16" t="s"/>
      <x:c r="D174" s="16" t="s"/>
      <x:c r="E174" s="16" t="s"/>
      <x:c r="F174" s="51" t="str">
        <x:f>IF(ROUND(E174/$K$11,2)&gt;0,ROUND(E174/$K$11,2),"")</x:f>
      </x:c>
    </x:row>
    <x:row r="175" spans="1:1024" outlineLevel="1">
      <x:c r="A175" s="50" t="n">
        <x:v>18</x:v>
      </x:c>
      <x:c r="B175" s="16" t="s"/>
      <x:c r="C175" s="16" t="s"/>
      <x:c r="D175" s="16" t="s"/>
      <x:c r="E175" s="16" t="s"/>
      <x:c r="F175" s="51" t="str">
        <x:f>IF(ROUND(E175/$K$11,2)&gt;0,ROUND(E175/$K$11,2),"")</x:f>
      </x:c>
    </x:row>
    <x:row r="176" spans="1:1024" outlineLevel="1">
      <x:c r="A176" s="50" t="n">
        <x:v>18</x:v>
      </x:c>
      <x:c r="B176" s="16" t="s"/>
      <x:c r="C176" s="16" t="s"/>
      <x:c r="D176" s="16" t="s"/>
      <x:c r="E176" s="16" t="s"/>
      <x:c r="F176" s="51" t="str">
        <x:f>IF(ROUND(E176/$K$11,2)&gt;0,ROUND(E176/$K$11,2),"")</x:f>
      </x:c>
    </x:row>
    <x:row r="177" spans="1:1024" outlineLevel="1">
      <x:c r="A177" s="50" t="n">
        <x:v>18</x:v>
      </x:c>
      <x:c r="B177" s="16" t="s"/>
      <x:c r="C177" s="16" t="s"/>
      <x:c r="D177" s="16" t="s"/>
      <x:c r="E177" s="16" t="s"/>
      <x:c r="F177" s="51" t="str">
        <x:f>IF(ROUND(E177/$K$11,2)&gt;0,ROUND(E177/$K$11,2),"")</x:f>
      </x:c>
    </x:row>
    <x:row r="178" spans="1:1024" outlineLevel="1">
      <x:c r="A178" s="50" t="n">
        <x:v>18</x:v>
      </x:c>
      <x:c r="B178" s="16" t="s"/>
      <x:c r="C178" s="16" t="s"/>
      <x:c r="D178" s="16" t="s"/>
      <x:c r="E178" s="16" t="s"/>
      <x:c r="F178" s="51" t="str">
        <x:f>IF(ROUND(E178/$K$11,2)&gt;0,ROUND(E178/$K$11,2),"")</x:f>
      </x:c>
    </x:row>
    <x:row r="179" spans="1:1024" outlineLevel="1">
      <x:c r="A179" s="50" t="n">
        <x:v>18</x:v>
      </x:c>
      <x:c r="B179" s="16" t="s"/>
      <x:c r="C179" s="16" t="s"/>
      <x:c r="D179" s="16" t="s"/>
      <x:c r="E179" s="16" t="s"/>
      <x:c r="F179" s="51" t="str">
        <x:f>IF(ROUND(E179/$K$11,2)&gt;0,ROUND(E179/$K$11,2),"")</x:f>
      </x:c>
    </x:row>
    <x:row r="180" spans="1:1024" outlineLevel="1">
      <x:c r="A180" s="50" t="n">
        <x:v>18</x:v>
      </x:c>
      <x:c r="B180" s="16" t="s"/>
      <x:c r="C180" s="16" t="s"/>
      <x:c r="D180" s="16" t="s"/>
      <x:c r="E180" s="16" t="s"/>
      <x:c r="F180" s="51" t="str">
        <x:f>IF(ROUND(E180/$K$11,2)&gt;0,ROUND(E180/$K$11,2),"")</x:f>
      </x:c>
    </x:row>
    <x:row r="181" spans="1:1024" outlineLevel="1">
      <x:c r="A181" s="50" t="n">
        <x:v>18</x:v>
      </x:c>
      <x:c r="B181" s="16" t="s"/>
      <x:c r="C181" s="16" t="s"/>
      <x:c r="D181" s="16" t="s"/>
      <x:c r="E181" s="16" t="s"/>
      <x:c r="F181" s="51" t="str">
        <x:f>IF(ROUND(E181/$K$11,2)&gt;0,ROUND(E181/$K$11,2),"")</x:f>
      </x:c>
    </x:row>
    <x:row r="182" spans="1:1024" outlineLevel="1">
      <x:c r="A182" s="50" t="n">
        <x:v>18</x:v>
      </x:c>
      <x:c r="B182" s="16" t="s"/>
      <x:c r="C182" s="16" t="s"/>
      <x:c r="D182" s="16" t="s"/>
      <x:c r="E182" s="16" t="s"/>
      <x:c r="F182" s="51" t="str">
        <x:f>IF(ROUND(E182/$K$11,2)&gt;0,ROUND(E182/$K$11,2),"")</x:f>
      </x:c>
    </x:row>
    <x:row r="183" spans="1:1024" outlineLevel="1">
      <x:c r="A183" s="50" t="n">
        <x:v>18</x:v>
      </x:c>
      <x:c r="B183" s="16" t="s"/>
      <x:c r="C183" s="16" t="s"/>
      <x:c r="D183" s="16" t="s"/>
      <x:c r="E183" s="16" t="s"/>
      <x:c r="F183" s="51" t="str">
        <x:f>IF(ROUND(E183/$K$11,2)&gt;0,ROUND(E183/$K$11,2),"")</x:f>
      </x:c>
    </x:row>
    <x:row r="184" spans="1:1024" outlineLevel="1">
      <x:c r="A184" s="50" t="n">
        <x:v>18</x:v>
      </x:c>
      <x:c r="B184" s="16" t="s"/>
      <x:c r="C184" s="16" t="s"/>
      <x:c r="D184" s="16" t="s"/>
      <x:c r="E184" s="16" t="s"/>
      <x:c r="F184" s="51" t="str">
        <x:f>IF(ROUND(E184/$K$11,2)&gt;0,ROUND(E184/$K$11,2),"")</x:f>
      </x:c>
    </x:row>
    <x:row r="185" spans="1:1024" outlineLevel="1">
      <x:c r="A185" s="50" t="n">
        <x:v>18</x:v>
      </x:c>
      <x:c r="B185" s="16" t="s"/>
      <x:c r="C185" s="16" t="s"/>
      <x:c r="D185" s="16" t="s"/>
      <x:c r="E185" s="16" t="s"/>
      <x:c r="F185" s="51" t="str">
        <x:f>IF(ROUND(E185/$K$11,2)&gt;0,ROUND(E185/$K$11,2),"")</x:f>
      </x:c>
    </x:row>
    <x:row r="186" spans="1:1024" outlineLevel="1">
      <x:c r="A186" s="50" t="n">
        <x:v>18</x:v>
      </x:c>
      <x:c r="B186" s="16" t="s"/>
      <x:c r="C186" s="16" t="s"/>
      <x:c r="D186" s="16" t="s"/>
      <x:c r="E186" s="16" t="s"/>
      <x:c r="F186" s="51" t="str">
        <x:f>IF(ROUND(E186/$K$11,2)&gt;0,ROUND(E186/$K$11,2),"")</x:f>
      </x:c>
    </x:row>
    <x:row r="187" spans="1:1024" outlineLevel="1">
      <x:c r="A187" s="50" t="n">
        <x:v>18</x:v>
      </x:c>
      <x:c r="B187" s="16" t="s"/>
      <x:c r="C187" s="16" t="s"/>
      <x:c r="D187" s="16" t="s"/>
      <x:c r="E187" s="16" t="s"/>
      <x:c r="F187" s="51" t="str">
        <x:f>IF(ROUND(E187/$K$11,2)&gt;0,ROUND(E187/$K$11,2),"")</x:f>
      </x:c>
    </x:row>
    <x:row r="188" spans="1:1024" outlineLevel="1">
      <x:c r="A188" s="50" t="n">
        <x:v>18</x:v>
      </x:c>
      <x:c r="B188" s="16" t="s"/>
      <x:c r="C188" s="16" t="s"/>
      <x:c r="D188" s="16" t="s"/>
      <x:c r="E188" s="16" t="s"/>
      <x:c r="F188" s="51" t="str">
        <x:f>IF(ROUND(E188/$K$11,2)&gt;0,ROUND(E188/$K$11,2),"")</x:f>
      </x:c>
    </x:row>
    <x:row r="189" spans="1:1024" outlineLevel="1">
      <x:c r="A189" s="50" t="n">
        <x:v>18</x:v>
      </x:c>
      <x:c r="B189" s="16" t="s"/>
      <x:c r="C189" s="16" t="s"/>
      <x:c r="D189" s="16" t="s"/>
      <x:c r="E189" s="16" t="s"/>
      <x:c r="F189" s="51" t="str">
        <x:f>IF(ROUND(E189/$K$11,2)&gt;0,ROUND(E189/$K$11,2),"")</x:f>
      </x:c>
    </x:row>
    <x:row r="190" spans="1:1024" outlineLevel="1">
      <x:c r="A190" s="50" t="n">
        <x:v>18</x:v>
      </x:c>
      <x:c r="B190" s="16" t="s"/>
      <x:c r="C190" s="16" t="s"/>
      <x:c r="D190" s="16" t="s"/>
      <x:c r="E190" s="16" t="s"/>
      <x:c r="F190" s="51" t="str">
        <x:f>IF(ROUND(E190/$K$11,2)&gt;0,ROUND(E190/$K$11,2),"")</x:f>
      </x:c>
    </x:row>
    <x:row r="191" spans="1:1024" outlineLevel="1">
      <x:c r="A191" s="50" t="n">
        <x:v>18</x:v>
      </x:c>
      <x:c r="B191" s="16" t="s"/>
      <x:c r="C191" s="16" t="s"/>
      <x:c r="D191" s="16" t="s"/>
      <x:c r="E191" s="16" t="s"/>
      <x:c r="F191" s="51" t="str">
        <x:f>IF(ROUND(E191/$K$11,2)&gt;0,ROUND(E191/$K$11,2),"")</x:f>
      </x:c>
    </x:row>
    <x:row r="192" spans="1:1024" outlineLevel="1">
      <x:c r="A192" s="50" t="n">
        <x:v>18</x:v>
      </x:c>
      <x:c r="B192" s="16" t="s"/>
      <x:c r="C192" s="16" t="s"/>
      <x:c r="D192" s="16" t="s"/>
      <x:c r="E192" s="16" t="s"/>
      <x:c r="F192" s="51" t="str">
        <x:f>IF(ROUND(E192/$K$11,2)&gt;0,ROUND(E192/$K$11,2),"")</x:f>
      </x:c>
    </x:row>
    <x:row r="193" spans="1:1024" outlineLevel="1">
      <x:c r="A193" s="50" t="n">
        <x:v>18</x:v>
      </x:c>
      <x:c r="B193" s="16" t="s"/>
      <x:c r="C193" s="16" t="s"/>
      <x:c r="D193" s="16" t="s"/>
      <x:c r="E193" s="16" t="s"/>
      <x:c r="F193" s="51" t="str">
        <x:f>IF(ROUND(E193/$K$11,2)&gt;0,ROUND(E193/$K$11,2),"")</x:f>
      </x:c>
    </x:row>
    <x:row r="194" spans="1:1024" outlineLevel="1">
      <x:c r="A194" s="50" t="n">
        <x:v>18</x:v>
      </x:c>
      <x:c r="B194" s="16" t="s"/>
      <x:c r="C194" s="16" t="s"/>
      <x:c r="D194" s="16" t="s"/>
      <x:c r="E194" s="16" t="s"/>
      <x:c r="F194" s="51" t="str">
        <x:f>IF(ROUND(E194/$K$11,2)&gt;0,ROUND(E194/$K$11,2),"")</x:f>
      </x:c>
    </x:row>
    <x:row r="195" spans="1:1024" outlineLevel="1">
      <x:c r="A195" s="50" t="n">
        <x:v>18</x:v>
      </x:c>
      <x:c r="B195" s="16" t="s"/>
      <x:c r="C195" s="16" t="s"/>
      <x:c r="D195" s="16" t="s"/>
      <x:c r="E195" s="16" t="s"/>
      <x:c r="F195" s="51" t="str">
        <x:f>IF(ROUND(E195/$K$11,2)&gt;0,ROUND(E195/$K$11,2),"")</x:f>
      </x:c>
    </x:row>
    <x:row r="196" spans="1:1024" outlineLevel="1">
      <x:c r="A196" s="50" t="n">
        <x:v>18</x:v>
      </x:c>
      <x:c r="B196" s="16" t="s"/>
      <x:c r="C196" s="16" t="s"/>
      <x:c r="D196" s="16" t="s"/>
      <x:c r="E196" s="16" t="s"/>
      <x:c r="F196" s="51" t="str">
        <x:f>IF(ROUND(E196/$K$11,2)&gt;0,ROUND(E196/$K$11,2),"")</x:f>
      </x:c>
    </x:row>
    <x:row r="197" spans="1:1024" outlineLevel="1">
      <x:c r="A197" s="50" t="n">
        <x:v>18</x:v>
      </x:c>
      <x:c r="B197" s="16" t="s"/>
      <x:c r="C197" s="16" t="s"/>
      <x:c r="D197" s="16" t="s"/>
      <x:c r="E197" s="16" t="s"/>
      <x:c r="F197" s="51" t="str">
        <x:f>IF(ROUND(E197/$K$11,2)&gt;0,ROUND(E197/$K$11,2),"")</x:f>
      </x:c>
    </x:row>
    <x:row r="198" spans="1:1024" outlineLevel="1">
      <x:c r="A198" s="50" t="n">
        <x:v>18</x:v>
      </x:c>
      <x:c r="B198" s="16" t="s"/>
      <x:c r="C198" s="16" t="s"/>
      <x:c r="D198" s="16" t="s"/>
      <x:c r="E198" s="16" t="s"/>
      <x:c r="F198" s="51" t="str">
        <x:f>IF(ROUND(E198/$K$11,2)&gt;0,ROUND(E198/$K$11,2),"")</x:f>
      </x:c>
    </x:row>
    <x:row r="199" spans="1:1024" outlineLevel="1">
      <x:c r="A199" s="50" t="n">
        <x:v>18</x:v>
      </x:c>
      <x:c r="B199" s="16" t="s"/>
      <x:c r="C199" s="16" t="s"/>
      <x:c r="D199" s="16" t="s"/>
      <x:c r="E199" s="16" t="s"/>
      <x:c r="F199" s="51" t="str">
        <x:f>IF(ROUND(E199/$K$11,2)&gt;0,ROUND(E199/$K$11,2),"")</x:f>
      </x:c>
    </x:row>
    <x:row r="200" spans="1:1024" outlineLevel="1">
      <x:c r="A200" s="50" t="n">
        <x:v>18</x:v>
      </x:c>
      <x:c r="B200" s="16" t="s"/>
      <x:c r="C200" s="16" t="s"/>
      <x:c r="D200" s="16" t="s"/>
      <x:c r="E200" s="16" t="s"/>
      <x:c r="F200" s="51" t="str">
        <x:f>IF(ROUND(E200/$K$11,2)&gt;0,ROUND(E200/$K$11,2),"")</x:f>
      </x:c>
    </x:row>
    <x:row r="201" spans="1:1024" outlineLevel="1">
      <x:c r="A201" s="50" t="n">
        <x:v>18</x:v>
      </x:c>
      <x:c r="B201" s="16" t="s"/>
      <x:c r="C201" s="16" t="s"/>
      <x:c r="D201" s="16" t="s"/>
      <x:c r="E201" s="16" t="s"/>
      <x:c r="F201" s="51" t="str">
        <x:f>IF(ROUND(E201/$K$11,2)&gt;0,ROUND(E201/$K$11,2),"")</x:f>
      </x:c>
    </x:row>
    <x:row r="202" spans="1:1024" outlineLevel="1">
      <x:c r="A202" s="50" t="n">
        <x:v>18</x:v>
      </x:c>
      <x:c r="B202" s="16" t="s"/>
      <x:c r="C202" s="16" t="s"/>
      <x:c r="D202" s="16" t="s"/>
      <x:c r="E202" s="16" t="s"/>
      <x:c r="F202" s="51" t="str">
        <x:f>IF(ROUND(E202/$K$11,2)&gt;0,ROUND(E202/$K$11,2),"")</x:f>
      </x:c>
    </x:row>
    <x:row r="203" spans="1:1024" outlineLevel="1">
      <x:c r="A203" s="50" t="n">
        <x:v>18</x:v>
      </x:c>
      <x:c r="B203" s="16" t="s"/>
      <x:c r="C203" s="16" t="s"/>
      <x:c r="D203" s="16" t="s"/>
      <x:c r="E203" s="16" t="s"/>
      <x:c r="F203" s="51" t="str">
        <x:f>IF(ROUND(E203/$K$11,2)&gt;0,ROUND(E203/$K$11,2),"")</x:f>
      </x:c>
    </x:row>
    <x:row r="204" spans="1:1024" outlineLevel="1">
      <x:c r="A204" s="50" t="n">
        <x:v>18</x:v>
      </x:c>
      <x:c r="B204" s="16" t="s"/>
      <x:c r="C204" s="16" t="s"/>
      <x:c r="D204" s="16" t="s"/>
      <x:c r="E204" s="16" t="s"/>
      <x:c r="F204" s="51" t="str">
        <x:f>IF(ROUND(E204/$K$11,2)&gt;0,ROUND(E204/$K$11,2),"")</x:f>
      </x:c>
    </x:row>
    <x:row r="205" spans="1:1024">
      <x:c r="A205" s="65" t="s"/>
      <x:c r="B205" s="65" t="s"/>
      <x:c r="C205" s="66" t="s">
        <x:v>758</x:v>
      </x:c>
      <x:c r="D205" s="65" t="s"/>
      <x:c r="E205" s="65" t="s"/>
      <x:c r="F205" s="51" t="s"/>
    </x:row>
    <x:row r="206" spans="1:1024" outlineLevel="1">
      <x:c r="A206" s="50" t="n">
        <x:v>18</x:v>
      </x:c>
      <x:c r="B206" s="16" t="s"/>
      <x:c r="C206" s="16" t="s"/>
      <x:c r="D206" s="16" t="s"/>
      <x:c r="E206" s="16" t="s"/>
      <x:c r="F206" s="51" t="str">
        <x:f>IF(ROUND(E206/$K$11,2)&gt;0,ROUND(E206/$K$11,2),"")</x:f>
      </x:c>
    </x:row>
    <x:row r="207" spans="1:1024" outlineLevel="1">
      <x:c r="A207" s="50" t="n">
        <x:v>18</x:v>
      </x:c>
      <x:c r="B207" s="16" t="s"/>
      <x:c r="C207" s="16" t="s"/>
      <x:c r="D207" s="16" t="s"/>
      <x:c r="E207" s="16" t="s"/>
      <x:c r="F207" s="51" t="str">
        <x:f>IF(ROUND(E207/$K$11,2)&gt;0,ROUND(E207/$K$11,2),"")</x:f>
      </x:c>
    </x:row>
    <x:row r="208" spans="1:1024" outlineLevel="1">
      <x:c r="A208" s="50" t="n">
        <x:v>18</x:v>
      </x:c>
      <x:c r="B208" s="16" t="s"/>
      <x:c r="C208" s="16" t="s"/>
      <x:c r="D208" s="16" t="s"/>
      <x:c r="E208" s="16" t="s"/>
      <x:c r="F208" s="51" t="str">
        <x:f>IF(ROUND(E208/$K$11,2)&gt;0,ROUND(E208/$K$11,2),"")</x:f>
      </x:c>
    </x:row>
    <x:row r="209" spans="1:1024" outlineLevel="1">
      <x:c r="A209" s="50" t="n">
        <x:v>18</x:v>
      </x:c>
      <x:c r="B209" s="16" t="s"/>
      <x:c r="C209" s="16" t="s"/>
      <x:c r="D209" s="16" t="s"/>
      <x:c r="E209" s="16" t="s"/>
      <x:c r="F209" s="51" t="str">
        <x:f>IF(ROUND(E209/$K$11,2)&gt;0,ROUND(E209/$K$11,2),"")</x:f>
      </x:c>
    </x:row>
    <x:row r="210" spans="1:1024" outlineLevel="1">
      <x:c r="A210" s="50" t="n">
        <x:v>18</x:v>
      </x:c>
      <x:c r="B210" s="16" t="s"/>
      <x:c r="C210" s="16" t="s"/>
      <x:c r="D210" s="16" t="s"/>
      <x:c r="E210" s="16" t="s"/>
      <x:c r="F210" s="51" t="str">
        <x:f>IF(ROUND(E210/$K$11,2)&gt;0,ROUND(E210/$K$11,2),"")</x:f>
      </x:c>
    </x:row>
    <x:row r="211" spans="1:1024" outlineLevel="1">
      <x:c r="A211" s="50" t="n">
        <x:v>18</x:v>
      </x:c>
      <x:c r="B211" s="16" t="s"/>
      <x:c r="C211" s="16" t="s"/>
      <x:c r="D211" s="16" t="s"/>
      <x:c r="E211" s="16" t="s"/>
      <x:c r="F211" s="51" t="str">
        <x:f>IF(ROUND(E211/$K$11,2)&gt;0,ROUND(E211/$K$11,2),"")</x:f>
      </x:c>
    </x:row>
    <x:row r="212" spans="1:1024" outlineLevel="1">
      <x:c r="A212" s="50" t="n">
        <x:v>18</x:v>
      </x:c>
      <x:c r="B212" s="16" t="s"/>
      <x:c r="C212" s="16" t="s"/>
      <x:c r="D212" s="16" t="s"/>
      <x:c r="E212" s="16" t="s"/>
      <x:c r="F212" s="51" t="str">
        <x:f>IF(ROUND(E212/$K$11,2)&gt;0,ROUND(E212/$K$11,2),"")</x:f>
      </x:c>
    </x:row>
    <x:row r="213" spans="1:1024" outlineLevel="1">
      <x:c r="A213" s="50" t="n">
        <x:v>18</x:v>
      </x:c>
      <x:c r="B213" s="16" t="s"/>
      <x:c r="C213" s="16" t="s"/>
      <x:c r="D213" s="16" t="s"/>
      <x:c r="E213" s="16" t="s"/>
      <x:c r="F213" s="51" t="str">
        <x:f>IF(ROUND(E213/$K$11,2)&gt;0,ROUND(E213/$K$11,2),"")</x:f>
      </x:c>
    </x:row>
    <x:row r="214" spans="1:1024" outlineLevel="1">
      <x:c r="A214" s="50" t="n">
        <x:v>18</x:v>
      </x:c>
      <x:c r="B214" s="16" t="s"/>
      <x:c r="C214" s="16" t="s"/>
      <x:c r="D214" s="16" t="s"/>
      <x:c r="E214" s="16" t="s"/>
      <x:c r="F214" s="51" t="str">
        <x:f>IF(ROUND(E214/$K$11,2)&gt;0,ROUND(E214/$K$11,2),"")</x:f>
      </x:c>
    </x:row>
    <x:row r="215" spans="1:1024" outlineLevel="1">
      <x:c r="A215" s="50" t="n">
        <x:v>18</x:v>
      </x:c>
      <x:c r="B215" s="16" t="s"/>
      <x:c r="C215" s="16" t="s"/>
      <x:c r="D215" s="16" t="s"/>
      <x:c r="E215" s="16" t="s"/>
      <x:c r="F215" s="51" t="str">
        <x:f>IF(ROUND(E215/$K$11,2)&gt;0,ROUND(E215/$K$11,2),"")</x:f>
      </x:c>
    </x:row>
    <x:row r="216" spans="1:1024" outlineLevel="1">
      <x:c r="A216" s="50" t="n">
        <x:v>18</x:v>
      </x:c>
      <x:c r="B216" s="16" t="s"/>
      <x:c r="C216" s="16" t="s"/>
      <x:c r="D216" s="16" t="s"/>
      <x:c r="E216" s="16" t="s"/>
      <x:c r="F216" s="51" t="str">
        <x:f>IF(ROUND(E216/$K$11,2)&gt;0,ROUND(E216/$K$11,2),"")</x:f>
      </x:c>
    </x:row>
    <x:row r="217" spans="1:1024" outlineLevel="1">
      <x:c r="A217" s="50" t="n">
        <x:v>18</x:v>
      </x:c>
      <x:c r="B217" s="16" t="s"/>
      <x:c r="C217" s="16" t="s"/>
      <x:c r="D217" s="16" t="s"/>
      <x:c r="E217" s="16" t="s"/>
      <x:c r="F217" s="51" t="str">
        <x:f>IF(ROUND(E217/$K$11,2)&gt;0,ROUND(E217/$K$11,2),"")</x:f>
      </x:c>
    </x:row>
    <x:row r="218" spans="1:1024" outlineLevel="1">
      <x:c r="A218" s="50" t="n">
        <x:v>18</x:v>
      </x:c>
      <x:c r="B218" s="16" t="s"/>
      <x:c r="C218" s="16" t="s"/>
      <x:c r="D218" s="16" t="s"/>
      <x:c r="E218" s="16" t="s"/>
      <x:c r="F218" s="51" t="str">
        <x:f>IF(ROUND(E218/$K$11,2)&gt;0,ROUND(E218/$K$11,2),"")</x:f>
      </x:c>
    </x:row>
    <x:row r="219" spans="1:1024" outlineLevel="1">
      <x:c r="A219" s="50" t="n">
        <x:v>18</x:v>
      </x:c>
      <x:c r="B219" s="16" t="s"/>
      <x:c r="C219" s="16" t="s"/>
      <x:c r="D219" s="16" t="s"/>
      <x:c r="E219" s="16" t="s"/>
      <x:c r="F219" s="51" t="str">
        <x:f>IF(ROUND(E219/$K$11,2)&gt;0,ROUND(E219/$K$11,2),"")</x:f>
      </x:c>
    </x:row>
    <x:row r="220" spans="1:1024" outlineLevel="1">
      <x:c r="A220" s="50" t="n">
        <x:v>18</x:v>
      </x:c>
      <x:c r="B220" s="16" t="s"/>
      <x:c r="C220" s="16" t="s"/>
      <x:c r="D220" s="16" t="s"/>
      <x:c r="E220" s="16" t="s"/>
      <x:c r="F220" s="51" t="str">
        <x:f>IF(ROUND(E220/$K$11,2)&gt;0,ROUND(E220/$K$11,2),"")</x:f>
      </x:c>
    </x:row>
    <x:row r="221" spans="1:1024" outlineLevel="1">
      <x:c r="A221" s="50" t="n">
        <x:v>18</x:v>
      </x:c>
      <x:c r="B221" s="16" t="s"/>
      <x:c r="C221" s="16" t="s"/>
      <x:c r="D221" s="16" t="s"/>
      <x:c r="E221" s="16" t="s"/>
      <x:c r="F221" s="51" t="str">
        <x:f>IF(ROUND(E221/$K$11,2)&gt;0,ROUND(E221/$K$11,2),"")</x:f>
      </x:c>
    </x:row>
    <x:row r="222" spans="1:1024" outlineLevel="1">
      <x:c r="A222" s="50" t="n">
        <x:v>18</x:v>
      </x:c>
      <x:c r="B222" s="16" t="s"/>
      <x:c r="C222" s="16" t="s"/>
      <x:c r="D222" s="16" t="s"/>
      <x:c r="E222" s="16" t="s"/>
      <x:c r="F222" s="51" t="str">
        <x:f>IF(ROUND(E222/$K$11,2)&gt;0,ROUND(E222/$K$11,2),"")</x:f>
      </x:c>
    </x:row>
    <x:row r="223" spans="1:1024" outlineLevel="1">
      <x:c r="A223" s="50" t="n">
        <x:v>18</x:v>
      </x:c>
      <x:c r="B223" s="16" t="s"/>
      <x:c r="C223" s="16" t="s"/>
      <x:c r="D223" s="16" t="s"/>
      <x:c r="E223" s="16" t="s"/>
      <x:c r="F223" s="51" t="str">
        <x:f>IF(ROUND(E223/$K$11,2)&gt;0,ROUND(E223/$K$11,2),"")</x:f>
      </x:c>
    </x:row>
    <x:row r="224" spans="1:1024" outlineLevel="1">
      <x:c r="A224" s="50" t="n">
        <x:v>18</x:v>
      </x:c>
      <x:c r="B224" s="16" t="s"/>
      <x:c r="C224" s="16" t="s"/>
      <x:c r="D224" s="16" t="s"/>
      <x:c r="E224" s="16" t="s"/>
      <x:c r="F224" s="51" t="str">
        <x:f>IF(ROUND(E224/$K$11,2)&gt;0,ROUND(E224/$K$11,2),"")</x:f>
      </x:c>
    </x:row>
    <x:row r="225" spans="1:1024" outlineLevel="1">
      <x:c r="A225" s="50" t="n">
        <x:v>18</x:v>
      </x:c>
      <x:c r="B225" s="16" t="s"/>
      <x:c r="C225" s="16" t="s"/>
      <x:c r="D225" s="16" t="s"/>
      <x:c r="E225" s="16" t="s"/>
      <x:c r="F225" s="51" t="str">
        <x:f>IF(ROUND(E225/$K$11,2)&gt;0,ROUND(E225/$K$11,2),"")</x:f>
      </x:c>
    </x:row>
    <x:row r="226" spans="1:1024" outlineLevel="1">
      <x:c r="A226" s="50" t="n">
        <x:v>18</x:v>
      </x:c>
      <x:c r="B226" s="16" t="s"/>
      <x:c r="C226" s="16" t="s"/>
      <x:c r="D226" s="16" t="s"/>
      <x:c r="E226" s="16" t="s"/>
      <x:c r="F226" s="51" t="str">
        <x:f>IF(ROUND(E226/$K$11,2)&gt;0,ROUND(E226/$K$11,2),"")</x:f>
      </x:c>
    </x:row>
    <x:row r="227" spans="1:1024" outlineLevel="1">
      <x:c r="A227" s="50" t="n">
        <x:v>18</x:v>
      </x:c>
      <x:c r="B227" s="16" t="s"/>
      <x:c r="C227" s="16" t="s"/>
      <x:c r="D227" s="16" t="s"/>
      <x:c r="E227" s="16" t="s"/>
      <x:c r="F227" s="51" t="str">
        <x:f>IF(ROUND(E227/$K$11,2)&gt;0,ROUND(E227/$K$11,2),"")</x:f>
      </x:c>
    </x:row>
    <x:row r="228" spans="1:1024" outlineLevel="1">
      <x:c r="A228" s="50" t="n">
        <x:v>18</x:v>
      </x:c>
      <x:c r="B228" s="16" t="s"/>
      <x:c r="C228" s="16" t="s"/>
      <x:c r="D228" s="16" t="s"/>
      <x:c r="E228" s="16" t="s"/>
      <x:c r="F228" s="51" t="str">
        <x:f>IF(ROUND(E228/$K$11,2)&gt;0,ROUND(E228/$K$11,2),"")</x:f>
      </x:c>
    </x:row>
    <x:row r="229" spans="1:1024" outlineLevel="1">
      <x:c r="A229" s="50" t="n">
        <x:v>18</x:v>
      </x:c>
      <x:c r="B229" s="16" t="s"/>
      <x:c r="C229" s="16" t="s"/>
      <x:c r="D229" s="16" t="s"/>
      <x:c r="E229" s="16" t="s"/>
      <x:c r="F229" s="51" t="str">
        <x:f>IF(ROUND(E229/$K$11,2)&gt;0,ROUND(E229/$K$11,2),"")</x:f>
      </x:c>
    </x:row>
    <x:row r="230" spans="1:1024" outlineLevel="1">
      <x:c r="A230" s="50" t="n">
        <x:v>18</x:v>
      </x:c>
      <x:c r="B230" s="16" t="s"/>
      <x:c r="C230" s="16" t="s"/>
      <x:c r="D230" s="16" t="s"/>
      <x:c r="E230" s="16" t="s"/>
      <x:c r="F230" s="51" t="str">
        <x:f>IF(ROUND(E230/$K$11,2)&gt;0,ROUND(E230/$K$11,2),"")</x:f>
      </x:c>
    </x:row>
    <x:row r="231" spans="1:1024" outlineLevel="1">
      <x:c r="A231" s="50" t="n">
        <x:v>18</x:v>
      </x:c>
      <x:c r="B231" s="16" t="s"/>
      <x:c r="C231" s="16" t="s"/>
      <x:c r="D231" s="16" t="s"/>
      <x:c r="E231" s="16" t="s"/>
      <x:c r="F231" s="51" t="str">
        <x:f>IF(ROUND(E231/$K$11,2)&gt;0,ROUND(E231/$K$11,2),"")</x:f>
      </x:c>
    </x:row>
    <x:row r="232" spans="1:1024" outlineLevel="1">
      <x:c r="A232" s="50" t="n">
        <x:v>18</x:v>
      </x:c>
      <x:c r="B232" s="16" t="s"/>
      <x:c r="C232" s="16" t="s"/>
      <x:c r="D232" s="16" t="s"/>
      <x:c r="E232" s="16" t="s"/>
      <x:c r="F232" s="51" t="str">
        <x:f>IF(ROUND(E232/$K$11,2)&gt;0,ROUND(E232/$K$11,2),"")</x:f>
      </x:c>
    </x:row>
    <x:row r="233" spans="1:1024" outlineLevel="1">
      <x:c r="A233" s="50" t="n">
        <x:v>18</x:v>
      </x:c>
      <x:c r="B233" s="16" t="s"/>
      <x:c r="C233" s="16" t="s"/>
      <x:c r="D233" s="16" t="s"/>
      <x:c r="E233" s="16" t="s"/>
      <x:c r="F233" s="51" t="str">
        <x:f>IF(ROUND(E233/$K$11,2)&gt;0,ROUND(E233/$K$11,2),"")</x:f>
      </x:c>
    </x:row>
    <x:row r="234" spans="1:1024" outlineLevel="1">
      <x:c r="A234" s="50" t="n">
        <x:v>18</x:v>
      </x:c>
      <x:c r="B234" s="16" t="s"/>
      <x:c r="C234" s="16" t="s"/>
      <x:c r="D234" s="16" t="s"/>
      <x:c r="E234" s="16" t="s"/>
      <x:c r="F234" s="51" t="str">
        <x:f>IF(ROUND(E234/$K$11,2)&gt;0,ROUND(E234/$K$11,2),"")</x:f>
      </x:c>
    </x:row>
    <x:row r="235" spans="1:1024" outlineLevel="1">
      <x:c r="A235" s="50" t="n">
        <x:v>18</x:v>
      </x:c>
      <x:c r="B235" s="16" t="s"/>
      <x:c r="C235" s="16" t="s"/>
      <x:c r="D235" s="16" t="s"/>
      <x:c r="E235" s="16" t="s"/>
      <x:c r="F235" s="51" t="str">
        <x:f>IF(ROUND(E235/$K$11,2)&gt;0,ROUND(E235/$K$11,2),"")</x:f>
      </x:c>
    </x:row>
    <x:row r="236" spans="1:1024" outlineLevel="1">
      <x:c r="A236" s="50" t="n">
        <x:v>18</x:v>
      </x:c>
      <x:c r="B236" s="16" t="s"/>
      <x:c r="C236" s="16" t="s"/>
      <x:c r="D236" s="16" t="s"/>
      <x:c r="E236" s="16" t="s"/>
      <x:c r="F236" s="51" t="str">
        <x:f>IF(ROUND(E236/$K$11,2)&gt;0,ROUND(E236/$K$11,2),"")</x:f>
      </x:c>
    </x:row>
    <x:row r="237" spans="1:1024" outlineLevel="1">
      <x:c r="A237" s="50" t="n">
        <x:v>18</x:v>
      </x:c>
      <x:c r="B237" s="16" t="s"/>
      <x:c r="C237" s="16" t="s"/>
      <x:c r="D237" s="16" t="s"/>
      <x:c r="E237" s="16" t="s"/>
      <x:c r="F237" s="51" t="str">
        <x:f>IF(ROUND(E237/$K$11,2)&gt;0,ROUND(E237/$K$11,2),"")</x:f>
      </x:c>
    </x:row>
    <x:row r="238" spans="1:1024" outlineLevel="1">
      <x:c r="A238" s="50" t="n">
        <x:v>18</x:v>
      </x:c>
      <x:c r="B238" s="16" t="s"/>
      <x:c r="C238" s="16" t="s"/>
      <x:c r="D238" s="16" t="s"/>
      <x:c r="E238" s="16" t="s"/>
      <x:c r="F238" s="51" t="str">
        <x:f>IF(ROUND(E238/$K$11,2)&gt;0,ROUND(E238/$K$11,2),"")</x:f>
      </x:c>
    </x:row>
    <x:row r="239" spans="1:1024" outlineLevel="1">
      <x:c r="A239" s="50" t="n">
        <x:v>18</x:v>
      </x:c>
      <x:c r="B239" s="16" t="s"/>
      <x:c r="C239" s="16" t="s"/>
      <x:c r="D239" s="16" t="s"/>
      <x:c r="E239" s="16" t="s"/>
      <x:c r="F239" s="51" t="str">
        <x:f>IF(ROUND(E239/$K$11,2)&gt;0,ROUND(E239/$K$11,2),"")</x:f>
      </x:c>
    </x:row>
    <x:row r="240" spans="1:1024" outlineLevel="1">
      <x:c r="A240" s="50" t="n">
        <x:v>18</x:v>
      </x:c>
      <x:c r="B240" s="16" t="s"/>
      <x:c r="C240" s="16" t="s"/>
      <x:c r="D240" s="16" t="s"/>
      <x:c r="E240" s="16" t="s"/>
      <x:c r="F240" s="51" t="str">
        <x:f>IF(ROUND(E240/$K$11,2)&gt;0,ROUND(E240/$K$11,2),"")</x:f>
      </x:c>
    </x:row>
    <x:row r="241" spans="1:1024" outlineLevel="1">
      <x:c r="A241" s="50" t="n">
        <x:v>18</x:v>
      </x:c>
      <x:c r="B241" s="16" t="s"/>
      <x:c r="C241" s="16" t="s"/>
      <x:c r="D241" s="16" t="s"/>
      <x:c r="E241" s="16" t="s"/>
      <x:c r="F241" s="51" t="str">
        <x:f>IF(ROUND(E241/$K$11,2)&gt;0,ROUND(E241/$K$11,2),"")</x:f>
      </x:c>
    </x:row>
    <x:row r="242" spans="1:1024" outlineLevel="1">
      <x:c r="A242" s="50" t="n">
        <x:v>18</x:v>
      </x:c>
      <x:c r="B242" s="16" t="s"/>
      <x:c r="C242" s="16" t="s"/>
      <x:c r="D242" s="16" t="s"/>
      <x:c r="E242" s="16" t="s"/>
      <x:c r="F242" s="51" t="str">
        <x:f>IF(ROUND(E242/$K$11,2)&gt;0,ROUND(E242/$K$11,2),"")</x:f>
      </x:c>
    </x:row>
    <x:row r="243" spans="1:1024" outlineLevel="1">
      <x:c r="A243" s="50" t="n">
        <x:v>18</x:v>
      </x:c>
      <x:c r="B243" s="16" t="s"/>
      <x:c r="C243" s="16" t="s"/>
      <x:c r="D243" s="16" t="s"/>
      <x:c r="E243" s="16" t="s"/>
      <x:c r="F243" s="51" t="str">
        <x:f>IF(ROUND(E243/$K$11,2)&gt;0,ROUND(E243/$K$11,2),"")</x:f>
      </x:c>
    </x:row>
    <x:row r="244" spans="1:1024" outlineLevel="1">
      <x:c r="A244" s="50" t="n">
        <x:v>18</x:v>
      </x:c>
      <x:c r="B244" s="16" t="s"/>
      <x:c r="C244" s="16" t="s"/>
      <x:c r="D244" s="16" t="s"/>
      <x:c r="E244" s="16" t="s"/>
      <x:c r="F244" s="51" t="str">
        <x:f>IF(ROUND(E244/$K$11,2)&gt;0,ROUND(E244/$K$11,2),"")</x:f>
      </x:c>
    </x:row>
    <x:row r="245" spans="1:1024" outlineLevel="1">
      <x:c r="A245" s="50" t="n">
        <x:v>18</x:v>
      </x:c>
      <x:c r="B245" s="16" t="s"/>
      <x:c r="C245" s="16" t="s"/>
      <x:c r="D245" s="16" t="s"/>
      <x:c r="E245" s="16" t="s"/>
      <x:c r="F245" s="51" t="str">
        <x:f>IF(ROUND(E245/$K$11,2)&gt;0,ROUND(E245/$K$11,2),"")</x:f>
      </x:c>
    </x:row>
    <x:row r="246" spans="1:1024" outlineLevel="1">
      <x:c r="A246" s="50" t="n">
        <x:v>18</x:v>
      </x:c>
      <x:c r="B246" s="16" t="s"/>
      <x:c r="C246" s="16" t="s"/>
      <x:c r="D246" s="16" t="s"/>
      <x:c r="E246" s="16" t="s"/>
      <x:c r="F246" s="51" t="str">
        <x:f>IF(ROUND(E246/$K$11,2)&gt;0,ROUND(E246/$K$11,2),"")</x:f>
      </x:c>
    </x:row>
    <x:row r="247" spans="1:1024" outlineLevel="1">
      <x:c r="A247" s="50" t="n">
        <x:v>18</x:v>
      </x:c>
      <x:c r="B247" s="16" t="s"/>
      <x:c r="C247" s="16" t="s"/>
      <x:c r="D247" s="16" t="s"/>
      <x:c r="E247" s="16" t="s"/>
      <x:c r="F247" s="51" t="str">
        <x:f>IF(ROUND(E247/$K$11,2)&gt;0,ROUND(E247/$K$11,2),"")</x:f>
      </x:c>
    </x:row>
    <x:row r="248" spans="1:1024" outlineLevel="1">
      <x:c r="A248" s="50" t="n">
        <x:v>18</x:v>
      </x:c>
      <x:c r="B248" s="16" t="s"/>
      <x:c r="C248" s="16" t="s"/>
      <x:c r="D248" s="16" t="s"/>
      <x:c r="E248" s="16" t="s"/>
      <x:c r="F248" s="51" t="str">
        <x:f>IF(ROUND(E248/$K$11,2)&gt;0,ROUND(E248/$K$11,2),"")</x:f>
      </x:c>
    </x:row>
    <x:row r="249" spans="1:1024" outlineLevel="1">
      <x:c r="A249" s="50" t="n">
        <x:v>18</x:v>
      </x:c>
      <x:c r="B249" s="16" t="s"/>
      <x:c r="C249" s="16" t="s"/>
      <x:c r="D249" s="16" t="s"/>
      <x:c r="E249" s="16" t="s"/>
      <x:c r="F249" s="51" t="str">
        <x:f>IF(ROUND(E249/$K$11,2)&gt;0,ROUND(E249/$K$11,2),"")</x:f>
      </x:c>
    </x:row>
    <x:row r="250" spans="1:1024" outlineLevel="1">
      <x:c r="A250" s="50" t="n">
        <x:v>18</x:v>
      </x:c>
      <x:c r="B250" s="16" t="s"/>
      <x:c r="C250" s="16" t="s"/>
      <x:c r="D250" s="16" t="s"/>
      <x:c r="E250" s="16" t="s"/>
      <x:c r="F250" s="51" t="str">
        <x:f>IF(ROUND(E250/$K$11,2)&gt;0,ROUND(E250/$K$11,2),"")</x:f>
      </x:c>
    </x:row>
    <x:row r="251" spans="1:1024" outlineLevel="1">
      <x:c r="A251" s="50" t="n">
        <x:v>18</x:v>
      </x:c>
      <x:c r="B251" s="16" t="s"/>
      <x:c r="C251" s="16" t="s"/>
      <x:c r="D251" s="16" t="s"/>
      <x:c r="E251" s="16" t="s"/>
      <x:c r="F251" s="51" t="str">
        <x:f>IF(ROUND(E251/$K$11,2)&gt;0,ROUND(E251/$K$11,2),"")</x:f>
      </x:c>
    </x:row>
    <x:row r="252" spans="1:1024" outlineLevel="1">
      <x:c r="A252" s="50" t="n">
        <x:v>18</x:v>
      </x:c>
      <x:c r="B252" s="16" t="s"/>
      <x:c r="C252" s="16" t="s"/>
      <x:c r="D252" s="16" t="s"/>
      <x:c r="E252" s="16" t="s"/>
      <x:c r="F252" s="51" t="str">
        <x:f>IF(ROUND(E252/$K$11,2)&gt;0,ROUND(E252/$K$11,2),"")</x:f>
      </x:c>
    </x:row>
    <x:row r="253" spans="1:1024" outlineLevel="1">
      <x:c r="A253" s="50" t="n">
        <x:v>18</x:v>
      </x:c>
      <x:c r="B253" s="16" t="s"/>
      <x:c r="C253" s="16" t="s"/>
      <x:c r="D253" s="16" t="s"/>
      <x:c r="E253" s="16" t="s"/>
      <x:c r="F253" s="51" t="str">
        <x:f>IF(ROUND(E253/$K$11,2)&gt;0,ROUND(E253/$K$11,2),"")</x:f>
      </x:c>
    </x:row>
    <x:row r="254" spans="1:1024" outlineLevel="1">
      <x:c r="A254" s="50" t="n">
        <x:v>18</x:v>
      </x:c>
      <x:c r="B254" s="16" t="s"/>
      <x:c r="C254" s="16" t="s"/>
      <x:c r="D254" s="16" t="s"/>
      <x:c r="E254" s="16" t="s"/>
      <x:c r="F254" s="51" t="str">
        <x:f>IF(ROUND(E254/$K$11,2)&gt;0,ROUND(E254/$K$11,2),"")</x:f>
      </x:c>
    </x:row>
    <x:row r="255" spans="1:1024" outlineLevel="1">
      <x:c r="A255" s="50" t="n">
        <x:v>18</x:v>
      </x:c>
      <x:c r="B255" s="16" t="s"/>
      <x:c r="C255" s="16" t="s"/>
      <x:c r="D255" s="16" t="s"/>
      <x:c r="E255" s="16" t="s"/>
      <x:c r="F255" s="51" t="str">
        <x:f>IF(ROUND(E255/$K$11,2)&gt;0,ROUND(E255/$K$11,2),"")</x:f>
      </x:c>
    </x:row>
    <x:row r="256" spans="1:1024" outlineLevel="1">
      <x:c r="A256" s="50" t="n">
        <x:v>18</x:v>
      </x:c>
      <x:c r="B256" s="16" t="s"/>
      <x:c r="C256" s="16" t="s"/>
      <x:c r="D256" s="16" t="s"/>
      <x:c r="E256" s="16" t="s"/>
      <x:c r="F256" s="51" t="str">
        <x:f>IF(ROUND(E256/$K$11,2)&gt;0,ROUND(E256/$K$11,2),"")</x:f>
      </x:c>
    </x:row>
    <x:row r="257" spans="1:1024" outlineLevel="1">
      <x:c r="A257" s="50" t="n">
        <x:v>18</x:v>
      </x:c>
      <x:c r="B257" s="16" t="s"/>
      <x:c r="C257" s="16" t="s"/>
      <x:c r="D257" s="16" t="s"/>
      <x:c r="E257" s="16" t="s"/>
      <x:c r="F257" s="51" t="str">
        <x:f>IF(ROUND(E257/$K$11,2)&gt;0,ROUND(E257/$K$11,2),"")</x:f>
      </x:c>
    </x:row>
    <x:row r="258" spans="1:1024" outlineLevel="1">
      <x:c r="A258" s="50" t="n">
        <x:v>18</x:v>
      </x:c>
      <x:c r="B258" s="16" t="s"/>
      <x:c r="C258" s="16" t="s"/>
      <x:c r="D258" s="16" t="s"/>
      <x:c r="E258" s="16" t="s"/>
      <x:c r="F258" s="51" t="str">
        <x:f>IF(ROUND(E258/$K$11,2)&gt;0,ROUND(E258/$K$11,2),"")</x:f>
      </x:c>
    </x:row>
    <x:row r="259" spans="1:1024" outlineLevel="1">
      <x:c r="A259" s="50" t="n">
        <x:v>18</x:v>
      </x:c>
      <x:c r="B259" s="16" t="s"/>
      <x:c r="C259" s="16" t="s"/>
      <x:c r="D259" s="16" t="s"/>
      <x:c r="E259" s="16" t="s"/>
      <x:c r="F259" s="51" t="str">
        <x:f>IF(ROUND(E259/$K$11,2)&gt;0,ROUND(E259/$K$11,2),"")</x:f>
      </x:c>
    </x:row>
    <x:row r="260" spans="1:1024" outlineLevel="1">
      <x:c r="A260" s="50" t="n">
        <x:v>18</x:v>
      </x:c>
      <x:c r="B260" s="16" t="s"/>
      <x:c r="C260" s="16" t="s"/>
      <x:c r="D260" s="16" t="s"/>
      <x:c r="E260" s="16" t="s"/>
      <x:c r="F260" s="51" t="str">
        <x:f>IF(ROUND(E260/$K$11,2)&gt;0,ROUND(E260/$K$11,2),"")</x:f>
      </x:c>
    </x:row>
    <x:row r="261" spans="1:1024" outlineLevel="1">
      <x:c r="A261" s="50" t="n">
        <x:v>18</x:v>
      </x:c>
      <x:c r="B261" s="16" t="s"/>
      <x:c r="C261" s="16" t="s"/>
      <x:c r="D261" s="16" t="s"/>
      <x:c r="E261" s="16" t="s"/>
      <x:c r="F261" s="51" t="str">
        <x:f>IF(ROUND(E261/$K$11,2)&gt;0,ROUND(E261/$K$11,2),"")</x:f>
      </x:c>
    </x:row>
    <x:row r="262" spans="1:1024" outlineLevel="1">
      <x:c r="A262" s="50" t="n">
        <x:v>18</x:v>
      </x:c>
      <x:c r="B262" s="16" t="s"/>
      <x:c r="C262" s="16" t="s"/>
      <x:c r="D262" s="16" t="s"/>
      <x:c r="E262" s="16" t="s"/>
      <x:c r="F262" s="51" t="str">
        <x:f>IF(ROUND(E262/$K$11,2)&gt;0,ROUND(E262/$K$11,2),"")</x:f>
      </x:c>
    </x:row>
    <x:row r="263" spans="1:1024" outlineLevel="1">
      <x:c r="A263" s="50" t="n">
        <x:v>18</x:v>
      </x:c>
      <x:c r="B263" s="16" t="s"/>
      <x:c r="C263" s="16" t="s"/>
      <x:c r="D263" s="16" t="s"/>
      <x:c r="E263" s="16" t="s"/>
      <x:c r="F263" s="51" t="str">
        <x:f>IF(ROUND(E263/$K$11,2)&gt;0,ROUND(E263/$K$11,2),"")</x:f>
      </x:c>
    </x:row>
    <x:row r="264" spans="1:1024" outlineLevel="1">
      <x:c r="A264" s="50" t="n">
        <x:v>18</x:v>
      </x:c>
      <x:c r="B264" s="16" t="s"/>
      <x:c r="C264" s="16" t="s"/>
      <x:c r="D264" s="16" t="s"/>
      <x:c r="E264" s="16" t="s"/>
      <x:c r="F264" s="51" t="str">
        <x:f>IF(ROUND(E264/$K$11,2)&gt;0,ROUND(E264/$K$11,2),"")</x:f>
      </x:c>
    </x:row>
    <x:row r="265" spans="1:1024" outlineLevel="1">
      <x:c r="A265" s="50" t="n">
        <x:v>18</x:v>
      </x:c>
      <x:c r="B265" s="16" t="s"/>
      <x:c r="C265" s="16" t="s"/>
      <x:c r="D265" s="16" t="s"/>
      <x:c r="E265" s="16" t="s"/>
      <x:c r="F265" s="51" t="str">
        <x:f>IF(ROUND(E265/$K$11,2)&gt;0,ROUND(E265/$K$11,2),"")</x:f>
      </x:c>
    </x:row>
    <x:row r="266" spans="1:1024">
      <x:c r="A266" s="65" t="s"/>
      <x:c r="B266" s="65" t="s"/>
      <x:c r="C266" s="66" t="s">
        <x:v>759</x:v>
      </x:c>
      <x:c r="D266" s="65" t="s"/>
      <x:c r="E266" s="65" t="s"/>
      <x:c r="F266" s="51" t="s"/>
    </x:row>
    <x:row r="267" spans="1:1024" outlineLevel="1">
      <x:c r="A267" s="50" t="n">
        <x:v>18</x:v>
      </x:c>
      <x:c r="B267" s="16" t="s"/>
      <x:c r="C267" s="16" t="s"/>
      <x:c r="D267" s="16" t="s"/>
      <x:c r="E267" s="16" t="s"/>
      <x:c r="F267" s="51" t="str">
        <x:f>IF(ROUND(E267/$K$11,2)&gt;0,ROUND(E267/$K$11,2),"")</x:f>
      </x:c>
    </x:row>
    <x:row r="268" spans="1:1024" outlineLevel="1">
      <x:c r="A268" s="50" t="n">
        <x:v>18</x:v>
      </x:c>
      <x:c r="B268" s="16" t="s"/>
      <x:c r="C268" s="16" t="s"/>
      <x:c r="D268" s="16" t="s"/>
      <x:c r="E268" s="16" t="s"/>
      <x:c r="F268" s="51" t="str">
        <x:f>IF(ROUND(E268/$K$11,2)&gt;0,ROUND(E268/$K$11,2),"")</x:f>
      </x:c>
    </x:row>
    <x:row r="269" spans="1:1024" outlineLevel="1">
      <x:c r="A269" s="50" t="n">
        <x:v>18</x:v>
      </x:c>
      <x:c r="B269" s="16" t="s"/>
      <x:c r="C269" s="16" t="s"/>
      <x:c r="D269" s="16" t="s"/>
      <x:c r="E269" s="16" t="s"/>
      <x:c r="F269" s="51" t="str">
        <x:f>IF(ROUND(E269/$K$11,2)&gt;0,ROUND(E269/$K$11,2),"")</x:f>
      </x:c>
    </x:row>
    <x:row r="270" spans="1:1024" outlineLevel="1">
      <x:c r="A270" s="50" t="n">
        <x:v>18</x:v>
      </x:c>
      <x:c r="B270" s="16" t="s"/>
      <x:c r="C270" s="16" t="s"/>
      <x:c r="D270" s="16" t="s"/>
      <x:c r="E270" s="16" t="s"/>
      <x:c r="F270" s="51" t="str">
        <x:f>IF(ROUND(E270/$K$11,2)&gt;0,ROUND(E270/$K$11,2),"")</x:f>
      </x:c>
    </x:row>
    <x:row r="271" spans="1:1024" outlineLevel="1">
      <x:c r="A271" s="50" t="n">
        <x:v>18</x:v>
      </x:c>
      <x:c r="B271" s="16" t="s"/>
      <x:c r="C271" s="16" t="s"/>
      <x:c r="D271" s="16" t="s"/>
      <x:c r="E271" s="16" t="s"/>
      <x:c r="F271" s="51" t="str">
        <x:f>IF(ROUND(E271/$K$11,2)&gt;0,ROUND(E271/$K$11,2),"")</x:f>
      </x:c>
    </x:row>
    <x:row r="272" spans="1:1024" outlineLevel="1">
      <x:c r="A272" s="50" t="n">
        <x:v>18</x:v>
      </x:c>
      <x:c r="B272" s="16" t="s"/>
      <x:c r="C272" s="16" t="s"/>
      <x:c r="D272" s="16" t="s"/>
      <x:c r="E272" s="16" t="s"/>
      <x:c r="F272" s="51" t="str">
        <x:f>IF(ROUND(E272/$K$11,2)&gt;0,ROUND(E272/$K$11,2),"")</x:f>
      </x:c>
    </x:row>
    <x:row r="273" spans="1:1024" outlineLevel="1">
      <x:c r="A273" s="50" t="n">
        <x:v>18</x:v>
      </x:c>
      <x:c r="B273" s="16" t="s"/>
      <x:c r="C273" s="16" t="s"/>
      <x:c r="D273" s="16" t="s"/>
      <x:c r="E273" s="16" t="s"/>
      <x:c r="F273" s="51" t="str">
        <x:f>IF(ROUND(E273/$K$11,2)&gt;0,ROUND(E273/$K$11,2),"")</x:f>
      </x:c>
    </x:row>
    <x:row r="274" spans="1:1024" outlineLevel="1">
      <x:c r="A274" s="50" t="n">
        <x:v>18</x:v>
      </x:c>
      <x:c r="B274" s="16" t="s"/>
      <x:c r="C274" s="16" t="s"/>
      <x:c r="D274" s="16" t="s"/>
      <x:c r="E274" s="16" t="s"/>
      <x:c r="F274" s="51" t="str">
        <x:f>IF(ROUND(E274/$K$11,2)&gt;0,ROUND(E274/$K$11,2),"")</x:f>
      </x:c>
    </x:row>
    <x:row r="275" spans="1:1024" outlineLevel="1">
      <x:c r="A275" s="50" t="n">
        <x:v>18</x:v>
      </x:c>
      <x:c r="B275" s="16" t="s"/>
      <x:c r="C275" s="16" t="s"/>
      <x:c r="D275" s="16" t="s"/>
      <x:c r="E275" s="16" t="s"/>
      <x:c r="F275" s="51" t="str">
        <x:f>IF(ROUND(E275/$K$11,2)&gt;0,ROUND(E275/$K$11,2),"")</x:f>
      </x:c>
    </x:row>
    <x:row r="276" spans="1:1024" outlineLevel="1">
      <x:c r="A276" s="50" t="n">
        <x:v>18</x:v>
      </x:c>
      <x:c r="B276" s="16" t="s"/>
      <x:c r="C276" s="16" t="s"/>
      <x:c r="D276" s="16" t="s"/>
      <x:c r="E276" s="16" t="s"/>
      <x:c r="F276" s="51" t="str">
        <x:f>IF(ROUND(E276/$K$11,2)&gt;0,ROUND(E276/$K$11,2),"")</x:f>
      </x:c>
    </x:row>
    <x:row r="277" spans="1:1024" outlineLevel="1">
      <x:c r="A277" s="50" t="n">
        <x:v>18</x:v>
      </x:c>
      <x:c r="B277" s="16" t="s"/>
      <x:c r="C277" s="16" t="s"/>
      <x:c r="D277" s="16" t="s"/>
      <x:c r="E277" s="16" t="s"/>
      <x:c r="F277" s="51" t="str">
        <x:f>IF(ROUND(E277/$K$11,2)&gt;0,ROUND(E277/$K$11,2),"")</x:f>
      </x:c>
    </x:row>
    <x:row r="278" spans="1:1024" outlineLevel="1">
      <x:c r="A278" s="50" t="n">
        <x:v>18</x:v>
      </x:c>
      <x:c r="B278" s="16" t="s"/>
      <x:c r="C278" s="16" t="s"/>
      <x:c r="D278" s="16" t="s"/>
      <x:c r="E278" s="16" t="s"/>
      <x:c r="F278" s="51" t="str">
        <x:f>IF(ROUND(E278/$K$11,2)&gt;0,ROUND(E278/$K$11,2),"")</x:f>
      </x:c>
    </x:row>
    <x:row r="279" spans="1:1024" outlineLevel="1">
      <x:c r="A279" s="50" t="n">
        <x:v>18</x:v>
      </x:c>
      <x:c r="B279" s="16" t="s"/>
      <x:c r="C279" s="16" t="s"/>
      <x:c r="D279" s="16" t="s"/>
      <x:c r="E279" s="16" t="s"/>
      <x:c r="F279" s="51" t="str">
        <x:f>IF(ROUND(E279/$K$11,2)&gt;0,ROUND(E279/$K$11,2),"")</x:f>
      </x:c>
    </x:row>
    <x:row r="280" spans="1:1024" outlineLevel="1">
      <x:c r="A280" s="50" t="n">
        <x:v>18</x:v>
      </x:c>
      <x:c r="B280" s="16" t="s"/>
      <x:c r="C280" s="16" t="s"/>
      <x:c r="D280" s="16" t="s"/>
      <x:c r="E280" s="16" t="s"/>
      <x:c r="F280" s="51" t="str">
        <x:f>IF(ROUND(E280/$K$11,2)&gt;0,ROUND(E280/$K$11,2),"")</x:f>
      </x:c>
    </x:row>
    <x:row r="281" spans="1:1024" outlineLevel="1">
      <x:c r="A281" s="50" t="n">
        <x:v>18</x:v>
      </x:c>
      <x:c r="B281" s="16" t="s"/>
      <x:c r="C281" s="16" t="s"/>
      <x:c r="D281" s="16" t="s"/>
      <x:c r="E281" s="16" t="s"/>
      <x:c r="F281" s="51" t="str">
        <x:f>IF(ROUND(E281/$K$11,2)&gt;0,ROUND(E281/$K$11,2),"")</x:f>
      </x:c>
    </x:row>
    <x:row r="282" spans="1:1024" outlineLevel="1">
      <x:c r="A282" s="50" t="n">
        <x:v>18</x:v>
      </x:c>
      <x:c r="B282" s="16" t="s"/>
      <x:c r="C282" s="16" t="s"/>
      <x:c r="D282" s="16" t="s"/>
      <x:c r="E282" s="16" t="s"/>
      <x:c r="F282" s="51" t="str">
        <x:f>IF(ROUND(E282/$K$11,2)&gt;0,ROUND(E282/$K$11,2),"")</x:f>
      </x:c>
    </x:row>
    <x:row r="283" spans="1:1024" outlineLevel="1">
      <x:c r="A283" s="50" t="n">
        <x:v>18</x:v>
      </x:c>
      <x:c r="B283" s="16" t="s"/>
      <x:c r="C283" s="16" t="s"/>
      <x:c r="D283" s="16" t="s"/>
      <x:c r="E283" s="16" t="s"/>
      <x:c r="F283" s="51" t="str">
        <x:f>IF(ROUND(E283/$K$11,2)&gt;0,ROUND(E283/$K$11,2),"")</x:f>
      </x:c>
    </x:row>
    <x:row r="284" spans="1:1024" outlineLevel="1">
      <x:c r="A284" s="50" t="n">
        <x:v>18</x:v>
      </x:c>
      <x:c r="B284" s="16" t="s"/>
      <x:c r="C284" s="16" t="s"/>
      <x:c r="D284" s="16" t="s"/>
      <x:c r="E284" s="16" t="s"/>
      <x:c r="F284" s="51" t="str">
        <x:f>IF(ROUND(E284/$K$11,2)&gt;0,ROUND(E284/$K$11,2),"")</x:f>
      </x:c>
    </x:row>
    <x:row r="285" spans="1:1024" outlineLevel="1">
      <x:c r="A285" s="50" t="n">
        <x:v>18</x:v>
      </x:c>
      <x:c r="B285" s="16" t="s"/>
      <x:c r="C285" s="16" t="s"/>
      <x:c r="D285" s="16" t="s"/>
      <x:c r="E285" s="16" t="s"/>
      <x:c r="F285" s="51" t="str">
        <x:f>IF(ROUND(E285/$K$11,2)&gt;0,ROUND(E285/$K$11,2),"")</x:f>
      </x:c>
    </x:row>
    <x:row r="286" spans="1:1024" outlineLevel="1">
      <x:c r="A286" s="50" t="n">
        <x:v>18</x:v>
      </x:c>
      <x:c r="B286" s="16" t="s"/>
      <x:c r="C286" s="16" t="s"/>
      <x:c r="D286" s="16" t="s"/>
      <x:c r="E286" s="16" t="s"/>
      <x:c r="F286" s="51" t="str">
        <x:f>IF(ROUND(E286/$K$11,2)&gt;0,ROUND(E286/$K$11,2),"")</x:f>
      </x:c>
    </x:row>
    <x:row r="287" spans="1:1024" outlineLevel="1">
      <x:c r="A287" s="50" t="n">
        <x:v>18</x:v>
      </x:c>
      <x:c r="B287" s="16" t="s"/>
      <x:c r="C287" s="16" t="s"/>
      <x:c r="D287" s="16" t="s"/>
      <x:c r="E287" s="16" t="s"/>
      <x:c r="F287" s="51" t="str">
        <x:f>IF(ROUND(E287/$K$11,2)&gt;0,ROUND(E287/$K$11,2),"")</x:f>
      </x:c>
    </x:row>
    <x:row r="288" spans="1:1024" outlineLevel="1">
      <x:c r="A288" s="50" t="n">
        <x:v>18</x:v>
      </x:c>
      <x:c r="B288" s="16" t="s"/>
      <x:c r="C288" s="16" t="s"/>
      <x:c r="D288" s="16" t="s"/>
      <x:c r="E288" s="16" t="s"/>
      <x:c r="F288" s="51" t="str">
        <x:f>IF(ROUND(E288/$K$11,2)&gt;0,ROUND(E288/$K$11,2),"")</x:f>
      </x:c>
    </x:row>
    <x:row r="289" spans="1:1024" outlineLevel="1">
      <x:c r="A289" s="50" t="n">
        <x:v>18</x:v>
      </x:c>
      <x:c r="B289" s="16" t="s"/>
      <x:c r="C289" s="16" t="s"/>
      <x:c r="D289" s="16" t="s"/>
      <x:c r="E289" s="16" t="s"/>
      <x:c r="F289" s="51" t="str">
        <x:f>IF(ROUND(E289/$K$11,2)&gt;0,ROUND(E289/$K$11,2),"")</x:f>
      </x:c>
    </x:row>
    <x:row r="290" spans="1:1024" outlineLevel="1">
      <x:c r="A290" s="50" t="n">
        <x:v>18</x:v>
      </x:c>
      <x:c r="B290" s="16" t="s"/>
      <x:c r="C290" s="16" t="s"/>
      <x:c r="D290" s="16" t="s"/>
      <x:c r="E290" s="16" t="s"/>
      <x:c r="F290" s="51" t="str">
        <x:f>IF(ROUND(E290/$K$11,2)&gt;0,ROUND(E290/$K$11,2),"")</x:f>
      </x:c>
    </x:row>
    <x:row r="291" spans="1:1024" outlineLevel="1">
      <x:c r="A291" s="50" t="n">
        <x:v>18</x:v>
      </x:c>
      <x:c r="B291" s="16" t="s"/>
      <x:c r="C291" s="16" t="s"/>
      <x:c r="D291" s="16" t="s"/>
      <x:c r="E291" s="16" t="s"/>
      <x:c r="F291" s="51" t="str">
        <x:f>IF(ROUND(E291/$K$11,2)&gt;0,ROUND(E291/$K$11,2),"")</x:f>
      </x:c>
    </x:row>
    <x:row r="292" spans="1:1024" outlineLevel="1">
      <x:c r="A292" s="50" t="n">
        <x:v>18</x:v>
      </x:c>
      <x:c r="B292" s="16" t="s"/>
      <x:c r="C292" s="16" t="s"/>
      <x:c r="D292" s="16" t="s"/>
      <x:c r="E292" s="16" t="s"/>
      <x:c r="F292" s="51" t="str">
        <x:f>IF(ROUND(E292/$K$11,2)&gt;0,ROUND(E292/$K$11,2),"")</x:f>
      </x:c>
    </x:row>
    <x:row r="293" spans="1:1024" outlineLevel="1">
      <x:c r="A293" s="50" t="n">
        <x:v>18</x:v>
      </x:c>
      <x:c r="B293" s="16" t="s"/>
      <x:c r="C293" s="16" t="s"/>
      <x:c r="D293" s="16" t="s"/>
      <x:c r="E293" s="16" t="s"/>
      <x:c r="F293" s="51" t="str">
        <x:f>IF(ROUND(E293/$K$11,2)&gt;0,ROUND(E293/$K$11,2),"")</x:f>
      </x:c>
    </x:row>
    <x:row r="294" spans="1:1024" outlineLevel="1">
      <x:c r="A294" s="50" t="n">
        <x:v>18</x:v>
      </x:c>
      <x:c r="B294" s="16" t="s"/>
      <x:c r="C294" s="16" t="s"/>
      <x:c r="D294" s="16" t="s"/>
      <x:c r="E294" s="16" t="s"/>
      <x:c r="F294" s="51" t="str">
        <x:f>IF(ROUND(E294/$K$11,2)&gt;0,ROUND(E294/$K$11,2),"")</x:f>
      </x:c>
    </x:row>
    <x:row r="295" spans="1:1024" outlineLevel="1">
      <x:c r="A295" s="50" t="n">
        <x:v>18</x:v>
      </x:c>
      <x:c r="B295" s="16" t="s"/>
      <x:c r="C295" s="16" t="s"/>
      <x:c r="D295" s="16" t="s"/>
      <x:c r="E295" s="16" t="s"/>
      <x:c r="F295" s="51" t="str">
        <x:f>IF(ROUND(E295/$K$11,2)&gt;0,ROUND(E295/$K$11,2),"")</x:f>
      </x:c>
    </x:row>
    <x:row r="296" spans="1:1024" outlineLevel="1">
      <x:c r="A296" s="50" t="n">
        <x:v>18</x:v>
      </x:c>
      <x:c r="B296" s="16" t="s"/>
      <x:c r="C296" s="16" t="s"/>
      <x:c r="D296" s="16" t="s"/>
      <x:c r="E296" s="16" t="s"/>
      <x:c r="F296" s="51" t="str">
        <x:f>IF(ROUND(E296/$K$11,2)&gt;0,ROUND(E296/$K$11,2),"")</x:f>
      </x:c>
    </x:row>
    <x:row r="297" spans="1:1024" outlineLevel="1">
      <x:c r="A297" s="50" t="n">
        <x:v>18</x:v>
      </x:c>
      <x:c r="B297" s="16" t="s"/>
      <x:c r="C297" s="16" t="s"/>
      <x:c r="D297" s="16" t="s"/>
      <x:c r="E297" s="16" t="s"/>
      <x:c r="F297" s="51" t="str">
        <x:f>IF(ROUND(E297/$K$11,2)&gt;0,ROUND(E297/$K$11,2),"")</x:f>
      </x:c>
    </x:row>
    <x:row r="298" spans="1:1024" outlineLevel="1">
      <x:c r="A298" s="50" t="n">
        <x:v>18</x:v>
      </x:c>
      <x:c r="B298" s="16" t="s"/>
      <x:c r="C298" s="16" t="s"/>
      <x:c r="D298" s="16" t="s"/>
      <x:c r="E298" s="16" t="s"/>
      <x:c r="F298" s="51" t="str">
        <x:f>IF(ROUND(E298/$K$11,2)&gt;0,ROUND(E298/$K$11,2),"")</x:f>
      </x:c>
    </x:row>
    <x:row r="299" spans="1:1024" outlineLevel="1">
      <x:c r="A299" s="50" t="n">
        <x:v>18</x:v>
      </x:c>
      <x:c r="B299" s="16" t="s"/>
      <x:c r="C299" s="16" t="s"/>
      <x:c r="D299" s="16" t="s"/>
      <x:c r="E299" s="16" t="s"/>
      <x:c r="F299" s="51" t="str">
        <x:f>IF(ROUND(E299/$K$11,2)&gt;0,ROUND(E299/$K$11,2),"")</x:f>
      </x:c>
    </x:row>
    <x:row r="300" spans="1:1024" outlineLevel="1">
      <x:c r="A300" s="50" t="n">
        <x:v>18</x:v>
      </x:c>
      <x:c r="B300" s="16" t="s"/>
      <x:c r="C300" s="16" t="s"/>
      <x:c r="D300" s="16" t="s"/>
      <x:c r="E300" s="16" t="s"/>
      <x:c r="F300" s="51" t="str">
        <x:f>IF(ROUND(E300/$K$11,2)&gt;0,ROUND(E300/$K$11,2),"")</x:f>
      </x:c>
    </x:row>
    <x:row r="301" spans="1:1024" outlineLevel="1">
      <x:c r="A301" s="50" t="n">
        <x:v>18</x:v>
      </x:c>
      <x:c r="B301" s="16" t="s"/>
      <x:c r="C301" s="16" t="s"/>
      <x:c r="D301" s="16" t="s"/>
      <x:c r="E301" s="16" t="s"/>
      <x:c r="F301" s="51" t="str">
        <x:f>IF(ROUND(E301/$K$11,2)&gt;0,ROUND(E301/$K$11,2),"")</x:f>
      </x:c>
    </x:row>
    <x:row r="302" spans="1:1024" outlineLevel="1">
      <x:c r="A302" s="50" t="n">
        <x:v>18</x:v>
      </x:c>
      <x:c r="B302" s="16" t="s"/>
      <x:c r="C302" s="16" t="s"/>
      <x:c r="D302" s="16" t="s"/>
      <x:c r="E302" s="16" t="s"/>
      <x:c r="F302" s="51" t="str">
        <x:f>IF(ROUND(E302/$K$11,2)&gt;0,ROUND(E302/$K$11,2),"")</x:f>
      </x:c>
    </x:row>
    <x:row r="303" spans="1:1024" outlineLevel="1">
      <x:c r="A303" s="50" t="n">
        <x:v>18</x:v>
      </x:c>
      <x:c r="B303" s="16" t="s"/>
      <x:c r="C303" s="16" t="s"/>
      <x:c r="D303" s="16" t="s"/>
      <x:c r="E303" s="16" t="s"/>
      <x:c r="F303" s="51" t="str">
        <x:f>IF(ROUND(E303/$K$11,2)&gt;0,ROUND(E303/$K$11,2),"")</x:f>
      </x:c>
    </x:row>
    <x:row r="304" spans="1:1024" outlineLevel="1">
      <x:c r="A304" s="50" t="n">
        <x:v>18</x:v>
      </x:c>
      <x:c r="B304" s="16" t="s"/>
      <x:c r="C304" s="16" t="s"/>
      <x:c r="D304" s="16" t="s"/>
      <x:c r="E304" s="16" t="s"/>
      <x:c r="F304" s="51" t="str">
        <x:f>IF(ROUND(E304/$K$11,2)&gt;0,ROUND(E304/$K$11,2),"")</x:f>
      </x:c>
    </x:row>
    <x:row r="305" spans="1:1024" outlineLevel="1">
      <x:c r="A305" s="50" t="n">
        <x:v>18</x:v>
      </x:c>
      <x:c r="B305" s="16" t="s"/>
      <x:c r="C305" s="16" t="s"/>
      <x:c r="D305" s="16" t="s"/>
      <x:c r="E305" s="16" t="s"/>
      <x:c r="F305" s="51" t="str">
        <x:f>IF(ROUND(E305/$K$11,2)&gt;0,ROUND(E305/$K$11,2),"")</x:f>
      </x:c>
    </x:row>
    <x:row r="306" spans="1:1024" outlineLevel="1">
      <x:c r="A306" s="50" t="n">
        <x:v>18</x:v>
      </x:c>
      <x:c r="B306" s="16" t="s"/>
      <x:c r="C306" s="16" t="s"/>
      <x:c r="D306" s="16" t="s"/>
      <x:c r="E306" s="16" t="s"/>
      <x:c r="F306" s="51" t="str">
        <x:f>IF(ROUND(E306/$K$11,2)&gt;0,ROUND(E306/$K$11,2),"")</x:f>
      </x:c>
    </x:row>
    <x:row r="307" spans="1:1024" outlineLevel="1">
      <x:c r="A307" s="50" t="n">
        <x:v>18</x:v>
      </x:c>
      <x:c r="B307" s="16" t="s"/>
      <x:c r="C307" s="16" t="s"/>
      <x:c r="D307" s="16" t="s"/>
      <x:c r="E307" s="16" t="s"/>
      <x:c r="F307" s="51" t="str">
        <x:f>IF(ROUND(E307/$K$11,2)&gt;0,ROUND(E307/$K$11,2),"")</x:f>
      </x:c>
    </x:row>
    <x:row r="308" spans="1:1024" outlineLevel="1">
      <x:c r="A308" s="50" t="n">
        <x:v>18</x:v>
      </x:c>
      <x:c r="B308" s="16" t="s"/>
      <x:c r="C308" s="16" t="s"/>
      <x:c r="D308" s="16" t="s"/>
      <x:c r="E308" s="16" t="s"/>
      <x:c r="F308" s="51" t="str">
        <x:f>IF(ROUND(E308/$K$11,2)&gt;0,ROUND(E308/$K$11,2),"")</x:f>
      </x:c>
    </x:row>
    <x:row r="309" spans="1:1024" outlineLevel="1">
      <x:c r="A309" s="50" t="n">
        <x:v>18</x:v>
      </x:c>
      <x:c r="B309" s="16" t="s"/>
      <x:c r="C309" s="16" t="s"/>
      <x:c r="D309" s="16" t="s"/>
      <x:c r="E309" s="16" t="s"/>
      <x:c r="F309" s="51" t="str">
        <x:f>IF(ROUND(E309/$K$11,2)&gt;0,ROUND(E309/$K$11,2),"")</x:f>
      </x:c>
    </x:row>
    <x:row r="310" spans="1:1024" outlineLevel="1">
      <x:c r="A310" s="50" t="n">
        <x:v>18</x:v>
      </x:c>
      <x:c r="B310" s="16" t="s"/>
      <x:c r="C310" s="16" t="s"/>
      <x:c r="D310" s="16" t="s"/>
      <x:c r="E310" s="16" t="s"/>
      <x:c r="F310" s="51" t="str">
        <x:f>IF(ROUND(E310/$K$11,2)&gt;0,ROUND(E310/$K$11,2),"")</x:f>
      </x:c>
    </x:row>
    <x:row r="311" spans="1:1024" outlineLevel="1">
      <x:c r="A311" s="50" t="n">
        <x:v>18</x:v>
      </x:c>
      <x:c r="B311" s="16" t="s"/>
      <x:c r="C311" s="16" t="s"/>
      <x:c r="D311" s="16" t="s"/>
      <x:c r="E311" s="16" t="s"/>
      <x:c r="F311" s="51" t="str">
        <x:f>IF(ROUND(E311/$K$11,2)&gt;0,ROUND(E311/$K$11,2),"")</x:f>
      </x:c>
    </x:row>
    <x:row r="312" spans="1:1024" outlineLevel="1">
      <x:c r="A312" s="50" t="n">
        <x:v>18</x:v>
      </x:c>
      <x:c r="B312" s="16" t="s"/>
      <x:c r="C312" s="16" t="s"/>
      <x:c r="D312" s="16" t="s"/>
      <x:c r="E312" s="16" t="s"/>
      <x:c r="F312" s="51" t="str">
        <x:f>IF(ROUND(E312/$K$11,2)&gt;0,ROUND(E312/$K$11,2),"")</x:f>
      </x:c>
    </x:row>
    <x:row r="313" spans="1:1024" outlineLevel="1">
      <x:c r="A313" s="50" t="n">
        <x:v>18</x:v>
      </x:c>
      <x:c r="B313" s="16" t="s"/>
      <x:c r="C313" s="16" t="s"/>
      <x:c r="D313" s="16" t="s"/>
      <x:c r="E313" s="16" t="s"/>
      <x:c r="F313" s="51" t="str">
        <x:f>IF(ROUND(E313/$K$11,2)&gt;0,ROUND(E313/$K$11,2),"")</x:f>
      </x:c>
    </x:row>
    <x:row r="314" spans="1:1024" outlineLevel="1">
      <x:c r="A314" s="50" t="n">
        <x:v>18</x:v>
      </x:c>
      <x:c r="B314" s="16" t="s"/>
      <x:c r="C314" s="16" t="s"/>
      <x:c r="D314" s="16" t="s"/>
      <x:c r="E314" s="16" t="s"/>
      <x:c r="F314" s="51" t="str">
        <x:f>IF(ROUND(E314/$K$11,2)&gt;0,ROUND(E314/$K$11,2),"")</x:f>
      </x:c>
    </x:row>
    <x:row r="315" spans="1:1024" outlineLevel="1">
      <x:c r="A315" s="50" t="n">
        <x:v>18</x:v>
      </x:c>
      <x:c r="B315" s="16" t="s"/>
      <x:c r="C315" s="16" t="s"/>
      <x:c r="D315" s="16" t="s"/>
      <x:c r="E315" s="16" t="s"/>
      <x:c r="F315" s="51" t="str">
        <x:f>IF(ROUND(E315/$K$11,2)&gt;0,ROUND(E315/$K$11,2),"")</x:f>
      </x:c>
    </x:row>
    <x:row r="316" spans="1:1024" outlineLevel="1">
      <x:c r="A316" s="50" t="n">
        <x:v>18</x:v>
      </x:c>
      <x:c r="B316" s="16" t="s"/>
      <x:c r="C316" s="16" t="s"/>
      <x:c r="D316" s="16" t="s"/>
      <x:c r="E316" s="16" t="s"/>
      <x:c r="F316" s="51" t="str">
        <x:f>IF(ROUND(E316/$K$11,2)&gt;0,ROUND(E316/$K$11,2),"")</x:f>
      </x:c>
    </x:row>
    <x:row r="317" spans="1:1024" outlineLevel="1">
      <x:c r="A317" s="50" t="n">
        <x:v>18</x:v>
      </x:c>
      <x:c r="B317" s="16" t="s"/>
      <x:c r="C317" s="16" t="s"/>
      <x:c r="D317" s="16" t="s"/>
      <x:c r="E317" s="16" t="s"/>
      <x:c r="F317" s="51" t="str">
        <x:f>IF(ROUND(E317/$K$11,2)&gt;0,ROUND(E317/$K$11,2),"")</x:f>
      </x:c>
    </x:row>
    <x:row r="318" spans="1:1024" outlineLevel="1">
      <x:c r="A318" s="50" t="n">
        <x:v>18</x:v>
      </x:c>
      <x:c r="B318" s="16" t="s"/>
      <x:c r="C318" s="16" t="s"/>
      <x:c r="D318" s="16" t="s"/>
      <x:c r="E318" s="16" t="s"/>
      <x:c r="F318" s="51" t="str">
        <x:f>IF(ROUND(E318/$K$11,2)&gt;0,ROUND(E318/$K$11,2),"")</x:f>
      </x:c>
    </x:row>
    <x:row r="319" spans="1:1024" outlineLevel="1">
      <x:c r="A319" s="50" t="n">
        <x:v>18</x:v>
      </x:c>
      <x:c r="B319" s="16" t="s"/>
      <x:c r="C319" s="16" t="s"/>
      <x:c r="D319" s="16" t="s"/>
      <x:c r="E319" s="16" t="s"/>
      <x:c r="F319" s="51" t="str">
        <x:f>IF(ROUND(E319/$K$11,2)&gt;0,ROUND(E319/$K$11,2),"")</x:f>
      </x:c>
    </x:row>
    <x:row r="320" spans="1:1024" outlineLevel="1">
      <x:c r="A320" s="50" t="n">
        <x:v>18</x:v>
      </x:c>
      <x:c r="B320" s="16" t="s"/>
      <x:c r="C320" s="16" t="s"/>
      <x:c r="D320" s="16" t="s"/>
      <x:c r="E320" s="16" t="s"/>
      <x:c r="F320" s="51" t="str">
        <x:f>IF(ROUND(E320/$K$11,2)&gt;0,ROUND(E320/$K$11,2),"")</x:f>
      </x:c>
    </x:row>
    <x:row r="321" spans="1:1024" outlineLevel="1">
      <x:c r="A321" s="50" t="n">
        <x:v>18</x:v>
      </x:c>
      <x:c r="B321" s="16" t="s"/>
      <x:c r="C321" s="16" t="s"/>
      <x:c r="D321" s="16" t="s"/>
      <x:c r="E321" s="16" t="s"/>
      <x:c r="F321" s="51" t="str">
        <x:f>IF(ROUND(E321/$K$11,2)&gt;0,ROUND(E321/$K$11,2),"")</x:f>
      </x:c>
    </x:row>
    <x:row r="322" spans="1:1024" outlineLevel="1">
      <x:c r="A322" s="50" t="n">
        <x:v>18</x:v>
      </x:c>
      <x:c r="B322" s="16" t="s"/>
      <x:c r="C322" s="16" t="s"/>
      <x:c r="D322" s="16" t="s"/>
      <x:c r="E322" s="16" t="s"/>
      <x:c r="F322" s="51" t="str">
        <x:f>IF(ROUND(E322/$K$11,2)&gt;0,ROUND(E322/$K$11,2),"")</x:f>
      </x:c>
    </x:row>
    <x:row r="323" spans="1:1024" outlineLevel="1">
      <x:c r="A323" s="50" t="n">
        <x:v>18</x:v>
      </x:c>
      <x:c r="B323" s="16" t="s"/>
      <x:c r="C323" s="16" t="s"/>
      <x:c r="D323" s="16" t="s"/>
      <x:c r="E323" s="16" t="s"/>
      <x:c r="F323" s="51" t="str">
        <x:f>IF(ROUND(E323/$K$11,2)&gt;0,ROUND(E323/$K$11,2),"")</x:f>
      </x:c>
    </x:row>
    <x:row r="324" spans="1:1024" outlineLevel="1">
      <x:c r="A324" s="50" t="n">
        <x:v>18</x:v>
      </x:c>
      <x:c r="B324" s="16" t="s"/>
      <x:c r="C324" s="16" t="s"/>
      <x:c r="D324" s="16" t="s"/>
      <x:c r="E324" s="16" t="s"/>
      <x:c r="F324" s="51" t="str">
        <x:f>IF(ROUND(E324/$K$11,2)&gt;0,ROUND(E324/$K$11,2),"")</x:f>
      </x:c>
    </x:row>
    <x:row r="325" spans="1:1024" outlineLevel="1">
      <x:c r="A325" s="50" t="n">
        <x:v>18</x:v>
      </x:c>
      <x:c r="B325" s="16" t="s"/>
      <x:c r="C325" s="16" t="s"/>
      <x:c r="D325" s="16" t="s"/>
      <x:c r="E325" s="16" t="s"/>
      <x:c r="F325" s="51" t="str">
        <x:f>IF(ROUND(E325/$K$11,2)&gt;0,ROUND(E325/$K$11,2),"")</x:f>
      </x:c>
    </x:row>
    <x:row r="326" spans="1:1024" outlineLevel="1">
      <x:c r="A326" s="50" t="n">
        <x:v>18</x:v>
      </x:c>
      <x:c r="B326" s="16" t="s"/>
      <x:c r="C326" s="16" t="s"/>
      <x:c r="D326" s="16" t="s"/>
      <x:c r="E326" s="16" t="s"/>
      <x:c r="F326" s="51" t="str">
        <x:f>IF(ROUND(E326/$K$11,2)&gt;0,ROUND(E326/$K$11,2),"")</x:f>
      </x:c>
    </x:row>
    <x:row r="327" spans="1:1024">
      <x:c r="A327" s="65" t="s"/>
      <x:c r="B327" s="65" t="s"/>
      <x:c r="C327" s="65" t="s"/>
      <x:c r="D327" s="65" t="s"/>
      <x:c r="E327" s="65" t="s"/>
      <x:c r="F327" s="51" t="s"/>
    </x:row>
  </x:sheetData>
  <x: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x:autoFilter ref="A21:I326"/>
  <x:mergeCells count="8">
    <x:mergeCell ref="A6:F6"/>
    <x:mergeCell ref="A7:F7"/>
    <x:mergeCell ref="A8:F8"/>
    <x:mergeCell ref="A1:F1"/>
    <x:mergeCell ref="A2:F2"/>
    <x:mergeCell ref="A3:F3"/>
    <x:mergeCell ref="A4:F4"/>
    <x:mergeCell ref="A5:F5"/>
  </x:mergeCells>
  <x:dataValidations count="5">
    <x:dataValidation type="list" errorStyle="stop" operator="between" allowBlank="1" showDropDown="0" showInputMessage="1" showErrorMessage="1" errorTitle="" error="" promptTitle="" prompt="" sqref="D23:D82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84:D143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145:D204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06:D265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67:D326">
      <x:formula1>$K$12:$K$13</x:formula1>
      <x:formula2>0</x:formula2>
    </x:dataValidation>
  </x:dataValidations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filterMode="1">
    <x:outlinePr summaryBelow="1" summaryRight="1"/>
  </x:sheetPr>
  <x:dimension ref="A2:I53"/>
  <x:sheetViews>
    <x:sheetView zoomScale="115" zoomScaleNormal="115" workbookViewId="0">
      <x:selection activeCell="B57" sqref="B57 B57:B57"/>
    </x:sheetView>
  </x:sheetViews>
  <x:sheetFormatPr defaultColWidth="13.561875" defaultRowHeight="15"/>
  <x:cols>
    <x:col min="1" max="1" width="8.710938" style="46" customWidth="1"/>
    <x:col min="2" max="2" width="36.425781" style="46" customWidth="1"/>
    <x:col min="3" max="3" width="33.710938" style="46" customWidth="1"/>
    <x:col min="4" max="4" width="33.140625" style="46" customWidth="1"/>
    <x:col min="5" max="5" width="50.710938" style="46" customWidth="1"/>
    <x:col min="6" max="9" width="11" style="46" customWidth="1"/>
  </x:cols>
  <x:sheetData>
    <x:row r="2" spans="1:9" customFormat="1" ht="30" customHeight="1">
      <x:c r="A2" s="70" t="s">
        <x:v>0</x:v>
      </x:c>
      <x:c r="B2" s="70" t="s">
        <x:v>760</x:v>
      </x:c>
      <x:c r="C2" s="70" t="s">
        <x:v>761</x:v>
      </x:c>
      <x:c r="D2" s="70" t="s">
        <x:v>762</x:v>
      </x:c>
      <x:c r="E2" s="70" t="s">
        <x:v>763</x:v>
      </x:c>
    </x:row>
    <x:row r="3" spans="1:9" customFormat="1" ht="30" hidden="1" customHeight="1">
      <x:c r="A3" s="18" t="n">
        <x:v>6</x:v>
      </x:c>
      <x:c r="B3" s="2" t="s">
        <x:v>764</x:v>
      </x:c>
      <x:c r="C3" s="19" t="s">
        <x:v>765</x:v>
      </x:c>
      <x:c r="D3" s="1" t="s">
        <x:v>766</x:v>
      </x:c>
      <x:c r="E3" s="1" t="s">
        <x:v>764</x:v>
      </x:c>
    </x:row>
    <x:row r="4" spans="1:9" hidden="1">
      <x:c r="A4" s="18" t="n">
        <x:v>6</x:v>
      </x:c>
      <x:c r="B4" s="2" t="s"/>
      <x:c r="C4" s="19" t="s">
        <x:v>23</x:v>
      </x:c>
      <x:c r="D4" s="1" t="s"/>
      <x:c r="E4" s="1" t="s"/>
    </x:row>
    <x:row r="5" spans="1:9" customFormat="1" ht="30" hidden="1" customHeight="1">
      <x:c r="A5" s="18" t="n">
        <x:v>6</x:v>
      </x:c>
      <x:c r="B5" s="2" t="s"/>
      <x:c r="C5" s="19" t="s">
        <x:v>767</x:v>
      </x:c>
      <x:c r="D5" s="1" t="s"/>
      <x:c r="E5" s="1" t="s"/>
    </x:row>
    <x:row r="6" spans="1:9" customFormat="1" ht="30" hidden="1" customHeight="1">
      <x:c r="A6" s="18" t="n">
        <x:v>6</x:v>
      </x:c>
      <x:c r="B6" s="2" t="s"/>
      <x:c r="C6" s="19" t="s">
        <x:v>768</x:v>
      </x:c>
      <x:c r="D6" s="1" t="s"/>
      <x:c r="E6" s="1" t="s"/>
    </x:row>
    <x:row r="7" spans="1:9" customFormat="1" ht="90" hidden="1" customHeight="1">
      <x:c r="A7" s="20" t="n">
        <x:v>7</x:v>
      </x:c>
      <x:c r="B7" s="1" t="s">
        <x:v>769</x:v>
      </x:c>
      <x:c r="C7" s="19" t="s">
        <x:v>770</x:v>
      </x:c>
      <x:c r="D7" s="1" t="s">
        <x:v>771</x:v>
      </x:c>
      <x:c r="E7" s="1" t="s">
        <x:v>772</x:v>
      </x:c>
    </x:row>
    <x:row r="8" spans="1:9" customFormat="1" ht="60" hidden="1" customHeight="1">
      <x:c r="A8" s="20" t="n">
        <x:v>7</x:v>
      </x:c>
      <x:c r="B8" s="1" t="s"/>
      <x:c r="C8" s="19" t="s">
        <x:v>773</x:v>
      </x:c>
      <x:c r="D8" s="1" t="s"/>
      <x:c r="E8" s="1" t="s"/>
    </x:row>
    <x:row r="9" spans="1:9" customFormat="1" ht="75" hidden="1" customHeight="1">
      <x:c r="A9" s="20" t="n">
        <x:v>8</x:v>
      </x:c>
      <x:c r="B9" s="1" t="s">
        <x:v>774</x:v>
      </x:c>
      <x:c r="C9" s="19" t="s">
        <x:v>775</x:v>
      </x:c>
      <x:c r="D9" s="1" t="s">
        <x:v>771</x:v>
      </x:c>
      <x:c r="E9" s="1" t="s">
        <x:v>776</x:v>
      </x:c>
    </x:row>
    <x:row r="10" spans="1:9" customFormat="1" ht="60" hidden="1" customHeight="1">
      <x:c r="A10" s="20" t="n">
        <x:v>8</x:v>
      </x:c>
      <x:c r="B10" s="1" t="s"/>
      <x:c r="C10" s="19" t="s">
        <x:v>777</x:v>
      </x:c>
      <x:c r="D10" s="1" t="s"/>
      <x:c r="E10" s="1" t="s"/>
    </x:row>
    <x:row r="11" spans="1:9" customFormat="1" ht="79.9" hidden="1" customHeight="1">
      <x:c r="A11" s="20" t="n">
        <x:v>9</x:v>
      </x:c>
      <x:c r="B11" s="1" t="s">
        <x:v>778</x:v>
      </x:c>
      <x:c r="C11" s="19" t="s">
        <x:v>48</x:v>
      </x:c>
      <x:c r="D11" s="1" t="s">
        <x:v>779</x:v>
      </x:c>
      <x:c r="E11" s="1" t="s">
        <x:v>780</x:v>
      </x:c>
    </x:row>
    <x:row r="12" spans="1:9" customFormat="1" ht="79.9" hidden="1" customHeight="1">
      <x:c r="A12" s="20" t="n">
        <x:v>9</x:v>
      </x:c>
      <x:c r="B12" s="1" t="s"/>
      <x:c r="C12" s="19" t="s">
        <x:v>781</x:v>
      </x:c>
      <x:c r="D12" s="1" t="s"/>
      <x:c r="E12" s="1" t="s"/>
    </x:row>
    <x:row r="13" spans="1:9" customFormat="1" ht="25.15" hidden="1" customHeight="1">
      <x:c r="A13" s="20" t="n">
        <x:v>10</x:v>
      </x:c>
      <x:c r="B13" s="1" t="s">
        <x:v>782</x:v>
      </x:c>
      <x:c r="C13" s="19" t="s">
        <x:v>783</x:v>
      </x:c>
      <x:c r="D13" s="1" t="s">
        <x:v>779</x:v>
      </x:c>
      <x:c r="E13" s="1" t="s">
        <x:v>784</x:v>
      </x:c>
    </x:row>
    <x:row r="14" spans="1:9" customFormat="1" ht="48.6" hidden="1" customHeight="1">
      <x:c r="A14" s="20" t="n">
        <x:v>10</x:v>
      </x:c>
      <x:c r="B14" s="1" t="s"/>
      <x:c r="C14" s="19" t="s">
        <x:v>785</x:v>
      </x:c>
      <x:c r="D14" s="1" t="s"/>
      <x:c r="E14" s="1" t="s"/>
    </x:row>
    <x:row r="15" spans="1:9" customFormat="1" ht="25.15" hidden="1" customHeight="1">
      <x:c r="A15" s="20" t="n">
        <x:v>10</x:v>
      </x:c>
      <x:c r="B15" s="1" t="s"/>
      <x:c r="C15" s="19" t="s">
        <x:v>56</x:v>
      </x:c>
      <x:c r="D15" s="1" t="s"/>
      <x:c r="E15" s="1" t="s"/>
    </x:row>
    <x:row r="16" spans="1:9" customFormat="1" ht="25.15" hidden="1" customHeight="1">
      <x:c r="A16" s="20" t="n">
        <x:v>10</x:v>
      </x:c>
      <x:c r="B16" s="1" t="s"/>
      <x:c r="C16" s="19" t="s">
        <x:v>786</x:v>
      </x:c>
      <x:c r="D16" s="1" t="s">
        <x:v>787</x:v>
      </x:c>
      <x:c r="E16" s="1" t="s"/>
    </x:row>
    <x:row r="17" spans="1:9" customFormat="1" ht="30" hidden="1" customHeight="1">
      <x:c r="A17" s="18" t="n">
        <x:v>12</x:v>
      </x:c>
      <x:c r="B17" s="1" t="s">
        <x:v>788</x:v>
      </x:c>
      <x:c r="C17" s="19" t="s">
        <x:v>789</x:v>
      </x:c>
      <x:c r="D17" s="1" t="s">
        <x:v>779</x:v>
      </x:c>
      <x:c r="E17" s="1" t="s">
        <x:v>790</x:v>
      </x:c>
    </x:row>
    <x:row r="18" spans="1:9" customFormat="1" ht="30" hidden="1" customHeight="1">
      <x:c r="A18" s="18" t="n">
        <x:v>12</x:v>
      </x:c>
      <x:c r="B18" s="1" t="s"/>
      <x:c r="C18" s="19" t="s">
        <x:v>791</x:v>
      </x:c>
      <x:c r="D18" s="1" t="s"/>
      <x:c r="E18" s="1" t="s"/>
    </x:row>
    <x:row r="19" spans="1:9" customFormat="1" ht="30" hidden="1" customHeight="1">
      <x:c r="A19" s="18" t="n">
        <x:v>12</x:v>
      </x:c>
      <x:c r="B19" s="1" t="s"/>
      <x:c r="C19" s="19" t="s">
        <x:v>792</x:v>
      </x:c>
      <x:c r="D19" s="1" t="s"/>
      <x:c r="E19" s="1" t="s"/>
    </x:row>
    <x:row r="20" spans="1:9" customFormat="1" ht="30" hidden="1" customHeight="1">
      <x:c r="A20" s="18" t="n">
        <x:v>12</x:v>
      </x:c>
      <x:c r="B20" s="1" t="s"/>
      <x:c r="C20" s="19" t="s">
        <x:v>793</x:v>
      </x:c>
      <x:c r="D20" s="18" t="s">
        <x:v>787</x:v>
      </x:c>
      <x:c r="E20" s="1" t="s"/>
    </x:row>
    <x:row r="21" spans="1:9" customFormat="1" ht="15" hidden="1" customHeight="1">
      <x:c r="A21" s="18" t="n">
        <x:v>13</x:v>
      </x:c>
      <x:c r="B21" s="1" t="s">
        <x:v>794</x:v>
      </x:c>
      <x:c r="C21" s="19" t="s">
        <x:v>184</x:v>
      </x:c>
      <x:c r="D21" s="1" t="s">
        <x:v>795</x:v>
      </x:c>
      <x:c r="E21" s="1" t="s">
        <x:v>796</x:v>
      </x:c>
    </x:row>
    <x:row r="22" spans="1:9" customFormat="1" ht="45" hidden="1" customHeight="1">
      <x:c r="A22" s="18" t="n">
        <x:v>13</x:v>
      </x:c>
      <x:c r="B22" s="1" t="s"/>
      <x:c r="C22" s="19" t="s">
        <x:v>797</x:v>
      </x:c>
      <x:c r="D22" s="1" t="s"/>
      <x:c r="E22" s="1" t="s"/>
    </x:row>
    <x:row r="23" spans="1:9" customFormat="1" ht="60" hidden="1" customHeight="1">
      <x:c r="A23" s="18" t="n">
        <x:v>13</x:v>
      </x:c>
      <x:c r="B23" s="1" t="s"/>
      <x:c r="C23" s="19" t="s">
        <x:v>798</x:v>
      </x:c>
      <x:c r="D23" s="1" t="s"/>
      <x:c r="E23" s="1" t="s"/>
    </x:row>
    <x:row r="24" spans="1:9" customFormat="1" ht="60" hidden="1" customHeight="1">
      <x:c r="A24" s="18" t="n">
        <x:v>13</x:v>
      </x:c>
      <x:c r="B24" s="1" t="s"/>
      <x:c r="C24" s="19" t="s">
        <x:v>799</x:v>
      </x:c>
      <x:c r="D24" s="1" t="s"/>
      <x:c r="E24" s="1" t="s"/>
    </x:row>
    <x:row r="25" spans="1:9" customFormat="1" ht="60" hidden="1" customHeight="1">
      <x:c r="A25" s="18" t="n">
        <x:v>13</x:v>
      </x:c>
      <x:c r="B25" s="1" t="s"/>
      <x:c r="C25" s="19" t="s">
        <x:v>800</x:v>
      </x:c>
      <x:c r="D25" s="1" t="s"/>
      <x:c r="E25" s="1" t="s"/>
    </x:row>
    <x:row r="26" spans="1:9" hidden="1">
      <x:c r="A26" s="18" t="n">
        <x:v>13</x:v>
      </x:c>
      <x:c r="B26" s="1" t="s"/>
      <x:c r="C26" s="19" t="s">
        <x:v>801</x:v>
      </x:c>
      <x:c r="D26" s="1" t="s"/>
      <x:c r="E26" s="1" t="s"/>
    </x:row>
    <x:row r="27" spans="1:9" hidden="1">
      <x:c r="A27" s="18" t="n">
        <x:v>13</x:v>
      </x:c>
      <x:c r="B27" s="1" t="s"/>
      <x:c r="C27" s="19" t="s">
        <x:v>335</x:v>
      </x:c>
      <x:c r="D27" s="1" t="s"/>
      <x:c r="E27" s="1" t="s"/>
    </x:row>
    <x:row r="28" spans="1:9" hidden="1">
      <x:c r="A28" s="18" t="n">
        <x:v>13</x:v>
      </x:c>
      <x:c r="B28" s="1" t="s"/>
      <x:c r="C28" s="19" t="s">
        <x:v>316</x:v>
      </x:c>
      <x:c r="D28" s="1" t="s">
        <x:v>787</x:v>
      </x:c>
      <x:c r="E28" s="1" t="s"/>
    </x:row>
    <x:row r="29" spans="1:9" customFormat="1" ht="45" hidden="1" customHeight="1">
      <x:c r="A29" s="18" t="n">
        <x:v>13</x:v>
      </x:c>
      <x:c r="B29" s="1" t="s"/>
      <x:c r="C29" s="19" t="s">
        <x:v>802</x:v>
      </x:c>
      <x:c r="D29" s="18" t="s">
        <x:v>803</x:v>
      </x:c>
      <x:c r="E29" s="1" t="s"/>
    </x:row>
    <x:row r="30" spans="1:9" customFormat="1" ht="15" hidden="1" customHeight="1">
      <x:c r="A30" s="18" t="n">
        <x:v>14</x:v>
      </x:c>
      <x:c r="B30" s="1" t="s">
        <x:v>804</x:v>
      </x:c>
      <x:c r="C30" s="19" t="s">
        <x:v>350</x:v>
      </x:c>
      <x:c r="D30" s="1" t="s">
        <x:v>787</x:v>
      </x:c>
      <x:c r="E30" s="1" t="s">
        <x:v>805</x:v>
      </x:c>
    </x:row>
    <x:row r="31" spans="1:9" customFormat="1" ht="30" hidden="1" customHeight="1">
      <x:c r="A31" s="18" t="n">
        <x:v>14</x:v>
      </x:c>
      <x:c r="B31" s="1" t="s"/>
      <x:c r="C31" s="19" t="s">
        <x:v>806</x:v>
      </x:c>
      <x:c r="D31" s="1" t="s"/>
      <x:c r="E31" s="1" t="s"/>
    </x:row>
    <x:row r="32" spans="1:9" hidden="1">
      <x:c r="A32" s="18" t="n">
        <x:v>14</x:v>
      </x:c>
      <x:c r="B32" s="1" t="s"/>
      <x:c r="C32" s="19" t="s">
        <x:v>355</x:v>
      </x:c>
      <x:c r="D32" s="18" t="s">
        <x:v>807</x:v>
      </x:c>
      <x:c r="E32" s="1" t="s"/>
    </x:row>
    <x:row r="33" spans="1:9" customFormat="1" ht="15" hidden="1" customHeight="1">
      <x:c r="A33" s="18" t="n">
        <x:v>14</x:v>
      </x:c>
      <x:c r="B33" s="1" t="s"/>
      <x:c r="C33" s="19" t="s">
        <x:v>340</x:v>
      </x:c>
      <x:c r="D33" s="1" t="s">
        <x:v>779</x:v>
      </x:c>
      <x:c r="E33" s="1" t="s"/>
    </x:row>
    <x:row r="34" spans="1:9" hidden="1">
      <x:c r="A34" s="18" t="n">
        <x:v>14</x:v>
      </x:c>
      <x:c r="B34" s="1" t="s"/>
      <x:c r="C34" s="19" t="s">
        <x:v>808</x:v>
      </x:c>
      <x:c r="D34" s="1" t="s"/>
      <x:c r="E34" s="1" t="s"/>
    </x:row>
    <x:row r="35" spans="1:9" customFormat="1" ht="60" hidden="1" customHeight="1">
      <x:c r="A35" s="18" t="n">
        <x:v>14</x:v>
      </x:c>
      <x:c r="B35" s="1" t="s"/>
      <x:c r="C35" s="19" t="s">
        <x:v>809</x:v>
      </x:c>
      <x:c r="D35" s="1" t="s"/>
      <x:c r="E35" s="1" t="s"/>
    </x:row>
    <x:row r="36" spans="1:9" customFormat="1" ht="15" hidden="1" customHeight="1">
      <x:c r="A36" s="18" t="n">
        <x:v>16</x:v>
      </x:c>
      <x:c r="B36" s="1" t="s">
        <x:v>810</x:v>
      </x:c>
      <x:c r="C36" s="19" t="s">
        <x:v>811</x:v>
      </x:c>
      <x:c r="D36" s="1" t="s">
        <x:v>779</x:v>
      </x:c>
      <x:c r="E36" s="1" t="s">
        <x:v>812</x:v>
      </x:c>
    </x:row>
    <x:row r="37" spans="1:9" hidden="1">
      <x:c r="A37" s="18" t="n">
        <x:v>16</x:v>
      </x:c>
      <x:c r="B37" s="1" t="s"/>
      <x:c r="C37" s="19" t="s">
        <x:v>813</x:v>
      </x:c>
      <x:c r="D37" s="1" t="s"/>
      <x:c r="E37" s="1" t="s"/>
    </x:row>
    <x:row r="38" spans="1:9" hidden="1">
      <x:c r="A38" s="18" t="n">
        <x:v>16</x:v>
      </x:c>
      <x:c r="B38" s="1" t="s"/>
      <x:c r="C38" s="19" t="s">
        <x:v>814</x:v>
      </x:c>
      <x:c r="D38" s="1" t="s"/>
      <x:c r="E38" s="1" t="s"/>
    </x:row>
    <x:row r="39" spans="1:9" customFormat="1" ht="45" hidden="1" customHeight="1">
      <x:c r="A39" s="18" t="n">
        <x:v>16</x:v>
      </x:c>
      <x:c r="B39" s="1" t="s"/>
      <x:c r="C39" s="19" t="s">
        <x:v>815</x:v>
      </x:c>
      <x:c r="D39" s="1" t="s"/>
      <x:c r="E39" s="1" t="s"/>
      <x:c r="H39" s="71" t="s"/>
      <x:c r="I39" s="71" t="s"/>
    </x:row>
    <x:row r="40" spans="1:9" customFormat="1" ht="45" hidden="1" customHeight="1">
      <x:c r="A40" s="18" t="n">
        <x:v>16</x:v>
      </x:c>
      <x:c r="B40" s="1" t="s"/>
      <x:c r="C40" s="19" t="s">
        <x:v>816</x:v>
      </x:c>
      <x:c r="D40" s="1" t="s"/>
      <x:c r="E40" s="1" t="s"/>
      <x:c r="G40" s="71" t="s"/>
      <x:c r="H40" s="71" t="s"/>
      <x:c r="I40" s="71" t="s"/>
    </x:row>
    <x:row r="41" spans="1:9" customFormat="1" ht="45" hidden="1" customHeight="1">
      <x:c r="A41" s="18" t="n">
        <x:v>16</x:v>
      </x:c>
      <x:c r="B41" s="1" t="s"/>
      <x:c r="C41" s="19" t="s">
        <x:v>817</x:v>
      </x:c>
      <x:c r="D41" s="1" t="s"/>
      <x:c r="E41" s="1" t="s"/>
      <x:c r="G41" s="71" t="s"/>
      <x:c r="H41" s="71" t="s"/>
      <x:c r="I41" s="71" t="s"/>
    </x:row>
    <x:row r="42" spans="1:9" hidden="1">
      <x:c r="A42" s="18" t="n">
        <x:v>16</x:v>
      </x:c>
      <x:c r="B42" s="1" t="s"/>
      <x:c r="C42" s="19" t="s">
        <x:v>573</x:v>
      </x:c>
      <x:c r="D42" s="1" t="s"/>
      <x:c r="E42" s="1" t="s"/>
      <x:c r="G42" s="71" t="s"/>
      <x:c r="H42" s="71" t="s"/>
      <x:c r="I42" s="71" t="s"/>
    </x:row>
    <x:row r="43" spans="1:9" hidden="1">
      <x:c r="A43" s="18" t="n">
        <x:v>16</x:v>
      </x:c>
      <x:c r="B43" s="1" t="s"/>
      <x:c r="C43" s="19" t="s">
        <x:v>818</x:v>
      </x:c>
      <x:c r="D43" s="1" t="s"/>
      <x:c r="E43" s="1" t="s"/>
      <x:c r="G43" s="71" t="s"/>
      <x:c r="H43" s="71" t="s"/>
      <x:c r="I43" s="71" t="s"/>
    </x:row>
    <x:row r="44" spans="1:9" customFormat="1" ht="30" hidden="1" customHeight="1">
      <x:c r="A44" s="18" t="n">
        <x:v>16</x:v>
      </x:c>
      <x:c r="B44" s="1" t="s"/>
      <x:c r="C44" s="19" t="s">
        <x:v>819</x:v>
      </x:c>
      <x:c r="D44" s="19" t="s">
        <x:v>820</x:v>
      </x:c>
      <x:c r="E44" s="1" t="s"/>
    </x:row>
    <x:row r="45" spans="1:9" customFormat="1" ht="32.45" customHeight="1">
      <x:c r="A45" s="18" t="n">
        <x:v>18</x:v>
      </x:c>
      <x:c r="B45" s="1" t="s">
        <x:v>821</x:v>
      </x:c>
      <x:c r="C45" s="19" t="s">
        <x:v>473</x:v>
      </x:c>
      <x:c r="D45" s="18" t="s">
        <x:v>787</x:v>
      </x:c>
      <x:c r="E45" s="1" t="s">
        <x:v>822</x:v>
      </x:c>
    </x:row>
    <x:row r="46" spans="1:9" customFormat="1" ht="32.45" customHeight="1">
      <x:c r="A46" s="18" t="n">
        <x:v>18</x:v>
      </x:c>
      <x:c r="B46" s="1" t="s"/>
      <x:c r="C46" s="19" t="s">
        <x:v>362</x:v>
      </x:c>
      <x:c r="D46" s="18" t="s">
        <x:v>803</x:v>
      </x:c>
      <x:c r="E46" s="1" t="s"/>
    </x:row>
    <x:row r="47" spans="1:9" customFormat="1" ht="32.45" customHeight="1">
      <x:c r="A47" s="18" t="n">
        <x:v>18</x:v>
      </x:c>
      <x:c r="B47" s="1" t="s"/>
      <x:c r="C47" s="19" t="s">
        <x:v>757</x:v>
      </x:c>
      <x:c r="D47" s="1" t="s">
        <x:v>779</x:v>
      </x:c>
      <x:c r="E47" s="1" t="s"/>
    </x:row>
    <x:row r="48" spans="1:9" customFormat="1" ht="32.45" customHeight="1">
      <x:c r="A48" s="18" t="n">
        <x:v>18</x:v>
      </x:c>
      <x:c r="B48" s="1" t="s"/>
      <x:c r="C48" s="19" t="s">
        <x:v>758</x:v>
      </x:c>
      <x:c r="D48" s="1" t="s"/>
      <x:c r="E48" s="1" t="s"/>
    </x:row>
    <x:row r="49" spans="1:9" customFormat="1" ht="32.45" customHeight="1">
      <x:c r="A49" s="18" t="n">
        <x:v>18</x:v>
      </x:c>
      <x:c r="B49" s="1" t="s"/>
      <x:c r="C49" s="19" t="s">
        <x:v>759</x:v>
      </x:c>
      <x:c r="D49" s="18" t="s">
        <x:v>823</x:v>
      </x:c>
      <x:c r="E49" s="1" t="s"/>
    </x:row>
    <x:row r="50" spans="1:9" customFormat="1" ht="15" hidden="1" customHeight="1">
      <x:c r="A50" s="18" t="n">
        <x:v>19</x:v>
      </x:c>
      <x:c r="B50" s="1" t="s">
        <x:v>824</x:v>
      </x:c>
      <x:c r="C50" s="19" t="s">
        <x:v>681</x:v>
      </x:c>
      <x:c r="D50" s="18" t="s">
        <x:v>807</x:v>
      </x:c>
      <x:c r="E50" s="1" t="s">
        <x:v>825</x:v>
      </x:c>
    </x:row>
    <x:row r="51" spans="1:9" customFormat="1" ht="15" hidden="1" customHeight="1">
      <x:c r="A51" s="18" t="n">
        <x:v>19</x:v>
      </x:c>
      <x:c r="B51" s="1" t="s"/>
      <x:c r="C51" s="19" t="s">
        <x:v>689</x:v>
      </x:c>
      <x:c r="D51" s="1" t="s">
        <x:v>779</x:v>
      </x:c>
      <x:c r="E51" s="1" t="s"/>
    </x:row>
    <x:row r="52" spans="1:9" hidden="1">
      <x:c r="A52" s="18" t="n">
        <x:v>19</x:v>
      </x:c>
      <x:c r="B52" s="1" t="s"/>
      <x:c r="C52" s="19" t="s">
        <x:v>695</x:v>
      </x:c>
      <x:c r="D52" s="1" t="s"/>
      <x:c r="E52" s="1" t="s"/>
    </x:row>
    <x:row r="53" spans="1:9" customFormat="1" ht="45" hidden="1" customHeight="1">
      <x:c r="A53" s="18" t="n">
        <x:v>19</x:v>
      </x:c>
      <x:c r="B53" s="1" t="s"/>
      <x:c r="C53" s="19" t="s">
        <x:v>826</x:v>
      </x:c>
      <x:c r="D53" s="1" t="s"/>
      <x:c r="E53" s="1" t="s"/>
    </x:row>
    <x:row r="57" spans="1:9"/>
  </x:sheetData>
  <x:autoFilter ref="A2:I53">
    <x:filterColumn colId="0">
      <x:filters>
        <x:filter val="18"/>
      </x:filters>
    </x:filterColumn>
  </x:autoFilter>
  <x:mergeCells count="34">
    <x:mergeCell ref="B50:B53"/>
    <x:mergeCell ref="E50:E53"/>
    <x:mergeCell ref="D51:D53"/>
    <x:mergeCell ref="B36:B44"/>
    <x:mergeCell ref="D36:D43"/>
    <x:mergeCell ref="E36:E44"/>
    <x:mergeCell ref="B45:B49"/>
    <x:mergeCell ref="E45:E49"/>
    <x:mergeCell ref="D47:D48"/>
    <x:mergeCell ref="B21:B29"/>
    <x:mergeCell ref="D21:D27"/>
    <x:mergeCell ref="E21:E29"/>
    <x:mergeCell ref="B30:B35"/>
    <x:mergeCell ref="D30:D31"/>
    <x:mergeCell ref="E30:E35"/>
    <x:mergeCell ref="D33:D35"/>
    <x:mergeCell ref="B13:B16"/>
    <x:mergeCell ref="D13:D15"/>
    <x:mergeCell ref="E13:E16"/>
    <x:mergeCell ref="B17:B20"/>
    <x:mergeCell ref="D17:D19"/>
    <x:mergeCell ref="E17:E20"/>
    <x:mergeCell ref="B9:B10"/>
    <x:mergeCell ref="D9:D10"/>
    <x:mergeCell ref="E9:E10"/>
    <x:mergeCell ref="B11:B12"/>
    <x:mergeCell ref="D11:D12"/>
    <x:mergeCell ref="E11:E12"/>
    <x:mergeCell ref="B3:B6"/>
    <x:mergeCell ref="D3:D6"/>
    <x:mergeCell ref="E3:E6"/>
    <x:mergeCell ref="B7:B8"/>
    <x:mergeCell ref="D7:D8"/>
    <x:mergeCell ref="E7:E8"/>
  </x:mergeCells>
  <x:printOptions horizontalCentered="0" verticalCentered="0" headings="0" gridLines="0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4"/>
  <x:sheetViews>
    <x:sheetView tabSelected="1" workbookViewId="0">
      <x:selection activeCell="A1" sqref="A1 A1:A1 A1:XFD1048576"/>
    </x:sheetView>
  </x:sheetViews>
  <x:sheetFormatPr defaultRowHeight="15"/>
  <x:cols>
    <x:col min="1" max="1" width="47.140625" style="46" customWidth="1"/>
    <x:col min="2" max="2" width="37.855469" style="46" customWidth="1"/>
    <x:col min="3" max="3" width="44.140625" style="46" customWidth="1"/>
  </x:cols>
  <x:sheetData>
    <x:row r="1" spans="1:4">
      <x:c r="A1" s="46" t="s">
        <x:f>HYPERLINK("httpc://ya.ru","click")</x:f>
      </x:c>
      <x:c r="B1" s="46" t="s">
        <x:v>739</x:v>
      </x:c>
      <x:c r="C1" s="46" t="s">
        <x:v>723</x:v>
      </x:c>
      <x:c r="D1" s="46" t="n">
        <x:v>1400</x:v>
      </x:c>
    </x:row>
    <x:row r="2" spans="1:4">
      <x:c r="A2" s="46" t="s">
        <x:v>827</x:v>
      </x:c>
      <x:c r="B2" s="46" t="s">
        <x:v>362</x:v>
      </x:c>
      <x:c r="C2" s="46" t="s">
        <x:v>723</x:v>
      </x:c>
      <x:c r="D2" s="46" t="n">
        <x:v>559</x:v>
      </x:c>
    </x:row>
    <x:row r="3" spans="1:4">
      <x:c r="A3" s="46" t="s">
        <x:v>828</x:v>
      </x:c>
      <x:c r="B3" s="46" t="s">
        <x:v>362</x:v>
      </x:c>
      <x:c r="C3" s="46" t="s">
        <x:v>723</x:v>
      </x:c>
      <x:c r="D3" s="46" t="n">
        <x:v>2150</x:v>
      </x:c>
    </x:row>
    <x:row r="4" spans="1:4">
      <x:c r="A4" s="46" t="s">
        <x:v>828</x:v>
      </x:c>
      <x:c r="B4" s="46" t="s">
        <x:v>740</x:v>
      </x:c>
      <x:c r="C4" s="46" t="s">
        <x:v>723</x:v>
      </x:c>
      <x:c r="D4" s="46" t="n">
        <x:v>2150</x:v>
      </x:c>
    </x:row>
    <x:row r="5" spans="1:4">
      <x:c r="A5" s="46" t="s">
        <x:v>829</x:v>
      </x:c>
      <x:c r="B5" s="46" t="s">
        <x:v>362</x:v>
      </x:c>
      <x:c r="C5" s="46" t="s">
        <x:v>723</x:v>
      </x:c>
      <x:c r="D5" s="46" t="n">
        <x:v>2000</x:v>
      </x:c>
    </x:row>
    <x:row r="6" spans="1:4">
      <x:c r="A6" s="46" t="s">
        <x:v>830</x:v>
      </x:c>
      <x:c r="B6" s="46" t="s">
        <x:v>367</x:v>
      </x:c>
      <x:c r="C6" s="46" t="s">
        <x:v>723</x:v>
      </x:c>
      <x:c r="D6" s="46" t="n">
        <x:v>2300</x:v>
      </x:c>
    </x:row>
    <x:row r="7" spans="1:4">
      <x:c r="A7" s="46" t="s">
        <x:v>831</x:v>
      </x:c>
      <x:c r="B7" s="46" t="s">
        <x:v>362</x:v>
      </x:c>
      <x:c r="C7" s="46" t="s">
        <x:v>723</x:v>
      </x:c>
      <x:c r="D7" s="46" t="n">
        <x:v>1161</x:v>
      </x:c>
    </x:row>
    <x:row r="8" spans="1:4">
      <x:c r="A8" s="46" t="s">
        <x:v>830</x:v>
      </x:c>
      <x:c r="B8" s="46" t="s">
        <x:v>362</x:v>
      </x:c>
      <x:c r="C8" s="46" t="s">
        <x:v>723</x:v>
      </x:c>
      <x:c r="D8" s="46" t="n">
        <x:v>2300</x:v>
      </x:c>
    </x:row>
    <x:row r="9" spans="1:4">
      <x:c r="A9" s="46" t="s">
        <x:v>832</x:v>
      </x:c>
      <x:c r="B9" s="46" t="s">
        <x:v>362</x:v>
      </x:c>
      <x:c r="C9" s="46" t="s">
        <x:v>723</x:v>
      </x:c>
      <x:c r="D9" s="46" t="n">
        <x:v>1500</x:v>
      </x:c>
    </x:row>
    <x:row r="10" spans="1:4">
      <x:c r="A10" s="46" t="s">
        <x:v>829</x:v>
      </x:c>
      <x:c r="B10" s="46" t="s">
        <x:v>741</x:v>
      </x:c>
      <x:c r="C10" s="46" t="s">
        <x:v>723</x:v>
      </x:c>
      <x:c r="D10" s="46" t="n">
        <x:v>2000</x:v>
      </x:c>
    </x:row>
    <x:row r="11" spans="1:4">
      <x:c r="A11" s="46" t="s">
        <x:v>833</x:v>
      </x:c>
      <x:c r="B11" s="46" t="s">
        <x:v>362</x:v>
      </x:c>
      <x:c r="C11" s="46" t="s">
        <x:v>723</x:v>
      </x:c>
      <x:c r="D11" s="46" t="n">
        <x:v>1000</x:v>
      </x:c>
    </x:row>
    <x:row r="12" spans="1:4">
      <x:c r="A12" s="46" t="s">
        <x:v>834</x:v>
      </x:c>
      <x:c r="B12" s="46" t="s">
        <x:v>362</x:v>
      </x:c>
      <x:c r="C12" s="46" t="s">
        <x:v>723</x:v>
      </x:c>
      <x:c r="D12" s="46" t="n">
        <x:v>1200</x:v>
      </x:c>
    </x:row>
    <x:row r="13" spans="1:4">
      <x:c r="A13" s="46" t="s">
        <x:v>835</x:v>
      </x:c>
      <x:c r="B13" s="46" t="s">
        <x:v>362</x:v>
      </x:c>
      <x:c r="C13" s="46" t="s">
        <x:v>723</x:v>
      </x:c>
      <x:c r="D13" s="46" t="n">
        <x:v>1700</x:v>
      </x:c>
    </x:row>
    <x:row r="14" spans="1:4">
      <x:c r="A14" s="46" t="s">
        <x:v>836</x:v>
      </x:c>
      <x:c r="B14" s="46" t="s">
        <x:v>362</x:v>
      </x:c>
      <x:c r="C14" s="46" t="s">
        <x:v>723</x:v>
      </x:c>
      <x:c r="D14" s="46" t="n">
        <x:v>1500</x:v>
      </x:c>
    </x:row>
    <x:row r="15" spans="1:4">
      <x:c r="A15" s="46" t="s">
        <x:v>837</x:v>
      </x:c>
      <x:c r="B15" s="46" t="s">
        <x:v>362</x:v>
      </x:c>
      <x:c r="C15" s="46" t="s">
        <x:v>723</x:v>
      </x:c>
      <x:c r="D15" s="46" t="n">
        <x:v>2000</x:v>
      </x:c>
    </x:row>
    <x:row r="16" spans="1:4">
      <x:c r="A16" s="46" t="s">
        <x:v>838</x:v>
      </x:c>
      <x:c r="B16" s="46" t="s">
        <x:v>362</x:v>
      </x:c>
      <x:c r="C16" s="46" t="s">
        <x:v>723</x:v>
      </x:c>
      <x:c r="D16" s="46" t="s">
        <x:v>742</x:v>
      </x:c>
    </x:row>
    <x:row r="17" spans="1:4">
      <x:c r="A17" s="46" t="s">
        <x:v>839</x:v>
      </x:c>
      <x:c r="B17" s="46" t="s">
        <x:v>743</x:v>
      </x:c>
      <x:c r="C17" s="46" t="s">
        <x:v>723</x:v>
      </x:c>
      <x:c r="D17" s="46" t="n">
        <x:v>1200</x:v>
      </x:c>
    </x:row>
    <x:row r="18" spans="1:4">
      <x:c r="A18" s="46" t="s">
        <x:v>840</x:v>
      </x:c>
      <x:c r="B18" s="46" t="s">
        <x:v>744</x:v>
      </x:c>
      <x:c r="C18" s="46" t="s">
        <x:v>723</x:v>
      </x:c>
      <x:c r="D18" s="46" t="n">
        <x:v>1000</x:v>
      </x:c>
    </x:row>
    <x:row r="19" spans="1:4">
      <x:c r="A19" s="46" t="s">
        <x:v>841</x:v>
      </x:c>
      <x:c r="B19" s="46" t="s">
        <x:v>362</x:v>
      </x:c>
      <x:c r="C19" s="46" t="s">
        <x:v>723</x:v>
      </x:c>
      <x:c r="D19" s="46" t="n">
        <x:v>950</x:v>
      </x:c>
    </x:row>
    <x:row r="20" spans="1:4">
      <x:c r="A20" s="46" t="s">
        <x:v>842</x:v>
      </x:c>
      <x:c r="B20" s="46" t="s">
        <x:v>362</x:v>
      </x:c>
      <x:c r="C20" s="46" t="s">
        <x:v>723</x:v>
      </x:c>
      <x:c r="D20" s="46" t="n">
        <x:v>900</x:v>
      </x:c>
    </x:row>
    <x:row r="21" spans="1:4">
      <x:c r="A21" s="46" t="s">
        <x:v>843</x:v>
      </x:c>
      <x:c r="B21" s="46" t="s">
        <x:v>745</x:v>
      </x:c>
      <x:c r="C21" s="46" t="s">
        <x:v>723</x:v>
      </x:c>
      <x:c r="D21" s="46" t="n">
        <x:v>800</x:v>
      </x:c>
    </x:row>
    <x:row r="22" spans="1:4">
      <x:c r="A22" s="46" t="s">
        <x:v>844</x:v>
      </x:c>
      <x:c r="B22" s="46" t="s">
        <x:v>746</x:v>
      </x:c>
      <x:c r="C22" s="46" t="s">
        <x:v>723</x:v>
      </x:c>
      <x:c r="D22" s="46" t="n">
        <x:v>1300</x:v>
      </x:c>
    </x:row>
    <x:row r="23" spans="1:4">
      <x:c r="A23" s="46" t="s">
        <x:v>845</x:v>
      </x:c>
      <x:c r="B23" s="46" t="s">
        <x:v>747</x:v>
      </x:c>
      <x:c r="C23" s="46" t="s">
        <x:v>723</x:v>
      </x:c>
      <x:c r="D23" s="46" t="n">
        <x:v>1100</x:v>
      </x:c>
    </x:row>
    <x:row r="24" spans="1:4">
      <x:c r="A24" s="46" t="s">
        <x:v>846</x:v>
      </x:c>
      <x:c r="B24" s="46" t="s">
        <x:v>748</x:v>
      </x:c>
      <x:c r="C24" s="46" t="s">
        <x:v>723</x:v>
      </x:c>
      <x:c r="D24" s="46" t="n">
        <x:v>1300</x:v>
      </x:c>
    </x:row>
    <x:row r="25" spans="1:4">
      <x:c r="A25" s="46" t="s">
        <x:v>847</x:v>
      </x:c>
      <x:c r="B25" s="46" t="s">
        <x:v>749</x:v>
      </x:c>
      <x:c r="C25" s="46" t="s">
        <x:v>723</x:v>
      </x:c>
      <x:c r="D25" s="46" t="n">
        <x:v>1000</x:v>
      </x:c>
    </x:row>
    <x:row r="26" spans="1:4">
      <x:c r="A26" s="46" t="s">
        <x:v>848</x:v>
      </x:c>
      <x:c r="B26" s="46" t="s">
        <x:v>750</x:v>
      </x:c>
      <x:c r="C26" s="46" t="s">
        <x:v>723</x:v>
      </x:c>
      <x:c r="D26" s="46" t="n">
        <x:v>3500</x:v>
      </x:c>
    </x:row>
    <x:row r="27" spans="1:4">
      <x:c r="A27" s="46" t="s">
        <x:v>849</x:v>
      </x:c>
      <x:c r="B27" s="46" t="s">
        <x:v>751</x:v>
      </x:c>
      <x:c r="C27" s="46" t="s">
        <x:v>723</x:v>
      </x:c>
      <x:c r="D27" s="46" t="n">
        <x:v>817</x:v>
      </x:c>
    </x:row>
    <x:row r="28" spans="1:4">
      <x:c r="A28" s="46" t="s">
        <x:v>850</x:v>
      </x:c>
      <x:c r="B28" s="46" t="s">
        <x:v>362</x:v>
      </x:c>
      <x:c r="C28" s="46" t="s">
        <x:v>723</x:v>
      </x:c>
      <x:c r="D28" s="46" t="s">
        <x:v>752</x:v>
      </x:c>
    </x:row>
    <x:row r="29" spans="1:4">
      <x:c r="A29" s="46" t="s">
        <x:v>851</x:v>
      </x:c>
      <x:c r="B29" s="46" t="s">
        <x:v>753</x:v>
      </x:c>
      <x:c r="C29" s="46" t="s">
        <x:v>723</x:v>
      </x:c>
      <x:c r="D29" s="46" t="n">
        <x:v>1000</x:v>
      </x:c>
    </x:row>
    <x:row r="30" spans="1:4">
      <x:c r="A30" s="46" t="s">
        <x:v>852</x:v>
      </x:c>
      <x:c r="B30" s="46" t="s">
        <x:v>754</x:v>
      </x:c>
      <x:c r="C30" s="46" t="s">
        <x:v>723</x:v>
      </x:c>
      <x:c r="D30" s="46" t="n">
        <x:v>2000</x:v>
      </x:c>
    </x:row>
    <x:row r="31" spans="1:4">
      <x:c r="A31" s="46" t="s">
        <x:v>853</x:v>
      </x:c>
      <x:c r="B31" s="46" t="s">
        <x:v>362</x:v>
      </x:c>
      <x:c r="C31" s="46" t="s">
        <x:v>723</x:v>
      </x:c>
      <x:c r="D31" s="46" t="n">
        <x:v>1400</x:v>
      </x:c>
    </x:row>
    <x:row r="32" spans="1:4">
      <x:c r="A32" s="46" t="s">
        <x:v>854</x:v>
      </x:c>
      <x:c r="B32" s="46" t="s">
        <x:v>755</x:v>
      </x:c>
      <x:c r="C32" s="46" t="s">
        <x:v>723</x:v>
      </x:c>
      <x:c r="D32" s="46" t="s">
        <x:v>756</x:v>
      </x:c>
    </x:row>
    <x:row r="33" spans="1:4"/>
    <x:row r="34" spans="1:4"/>
    <x:row r="35" spans="1:4"/>
    <x:row r="36" spans="1:4"/>
    <x:row r="37" spans="1:4"/>
    <x:row r="38" spans="1:4"/>
    <x:row r="39" spans="1:4"/>
    <x:row r="40" spans="1:4"/>
    <x:row r="41" spans="1:4"/>
    <x:row r="42" spans="1:4"/>
    <x:row r="43" spans="1:4"/>
    <x:row r="44" spans="1:4"/>
    <x:row r="45" spans="1:4"/>
    <x:row r="46" spans="1:4"/>
    <x:row r="47" spans="1:4"/>
    <x:row r="48" spans="1:4"/>
    <x:row r="49" spans="1:4"/>
    <x:row r="50" spans="1:4"/>
    <x:row r="51" spans="1:4"/>
    <x:row r="52" spans="1:4"/>
    <x:row r="53" spans="1:4"/>
    <x:row r="54" spans="1:4"/>
    <x:row r="55" spans="1:4"/>
    <x:row r="56" spans="1:4"/>
    <x:row r="57" spans="1:4"/>
    <x:row r="58" spans="1:4"/>
    <x:row r="59" spans="1:4"/>
    <x:row r="60" spans="1:4"/>
    <x:row r="61" spans="1:4">
      <x:c r="A61" s="46" t="s">
        <x:v>855</x:v>
      </x:c>
      <x:c r="B61" s="46" t="s">
        <x:v>734</x:v>
      </x:c>
      <x:c r="C61" s="46" t="s">
        <x:v>723</x:v>
      </x:c>
      <x:c r="D61" s="46" t="n">
        <x:v>1400</x:v>
      </x:c>
    </x:row>
    <x:row r="62" spans="1:4">
      <x:c r="A62" s="46" t="s">
        <x:v>856</x:v>
      </x:c>
      <x:c r="B62" s="46" t="s">
        <x:v>735</x:v>
      </x:c>
      <x:c r="C62" s="46" t="s">
        <x:v>723</x:v>
      </x:c>
      <x:c r="D62" s="46" t="n">
        <x:v>559</x:v>
      </x:c>
    </x:row>
    <x:row r="63" spans="1:4">
      <x:c r="A63" s="46" t="s">
        <x:v>857</x:v>
      </x:c>
      <x:c r="B63" s="46" t="s">
        <x:v>736</x:v>
      </x:c>
      <x:c r="C63" s="46" t="s">
        <x:v>723</x:v>
      </x:c>
      <x:c r="D63" s="46" t="n">
        <x:v>2150</x:v>
      </x:c>
    </x:row>
    <x:row r="64" spans="1:4">
      <x:c r="A64" s="46" t="s">
        <x:v>857</x:v>
      </x:c>
      <x:c r="B64" s="46" t="s">
        <x:v>737</x:v>
      </x:c>
      <x:c r="C64" s="46" t="s">
        <x:v>723</x:v>
      </x:c>
      <x:c r="D64" s="46" t="n">
        <x:v>2151</x:v>
      </x:c>
    </x:row>
    <x:row r="65" spans="1:4">
      <x:c r="A65" s="46" t="s">
        <x:v>858</x:v>
      </x:c>
      <x:c r="B65" s="46" t="s">
        <x:v>735</x:v>
      </x:c>
      <x:c r="C65" s="46" t="s">
        <x:v>723</x:v>
      </x:c>
      <x:c r="D65" s="46" t="n">
        <x:v>2000</x:v>
      </x:c>
    </x:row>
    <x:row r="66" spans="1:4">
      <x:c r="A66" s="46" t="s">
        <x:v>859</x:v>
      </x:c>
      <x:c r="B66" s="46" t="s">
        <x:v>738</x:v>
      </x:c>
      <x:c r="C66" s="46" t="s">
        <x:v>723</x:v>
      </x:c>
      <x:c r="D66" s="46" t="n">
        <x:v>2300</x:v>
      </x:c>
    </x:row>
    <x:row r="67" spans="1:4">
      <x:c r="A67" s="46" t="s">
        <x:v>860</x:v>
      </x:c>
      <x:c r="B67" s="46" t="s">
        <x:v>735</x:v>
      </x:c>
      <x:c r="C67" s="46" t="s">
        <x:v>723</x:v>
      </x:c>
      <x:c r="D67" s="46" t="n">
        <x:v>1161</x:v>
      </x:c>
    </x:row>
    <x:row r="68" spans="1:4"/>
    <x:row r="69" spans="1:4"/>
    <x:row r="70" spans="1:4"/>
    <x:row r="71" spans="1:4"/>
    <x:row r="72" spans="1:4"/>
    <x:row r="73" spans="1:4"/>
    <x:row r="74" spans="1:4"/>
    <x:row r="75" spans="1:4"/>
    <x:row r="76" spans="1:4"/>
    <x:row r="77" spans="1:4"/>
    <x:row r="78" spans="1:4"/>
    <x:row r="79" spans="1:4"/>
    <x:row r="80" spans="1:4"/>
    <x:row r="81" spans="1:4"/>
    <x:row r="82" spans="1:4"/>
    <x:row r="83" spans="1:4"/>
    <x:row r="84" spans="1:4"/>
    <x:row r="85" spans="1:4"/>
    <x:row r="86" spans="1:4"/>
    <x:row r="87" spans="1:4"/>
    <x:row r="88" spans="1:4"/>
    <x:row r="89" spans="1:4"/>
    <x:row r="90" spans="1:4"/>
    <x:row r="91" spans="1:4"/>
    <x:row r="92" spans="1:4"/>
    <x:row r="93" spans="1:4"/>
    <x:row r="94" spans="1:4"/>
    <x:row r="95" spans="1:4"/>
    <x:row r="96" spans="1:4"/>
    <x:row r="97" spans="1:4"/>
    <x:row r="98" spans="1:4"/>
    <x:row r="99" spans="1:4"/>
    <x:row r="100" spans="1:4"/>
    <x:row r="101" spans="1:4"/>
    <x:row r="102" spans="1:4"/>
    <x:row r="103" spans="1:4"/>
    <x:row r="104" spans="1:4"/>
    <x:row r="105" spans="1:4"/>
    <x:row r="106" spans="1:4"/>
    <x:row r="107" spans="1:4"/>
    <x:row r="108" spans="1:4"/>
    <x:row r="109" spans="1:4"/>
    <x:row r="110" spans="1:4"/>
    <x:row r="111" spans="1:4"/>
    <x:row r="112" spans="1:4"/>
    <x:row r="113" spans="1:4"/>
    <x:row r="114" spans="1:4"/>
    <x:row r="115" spans="1:4"/>
    <x:row r="116" spans="1:4"/>
    <x:row r="117" spans="1:4"/>
    <x:row r="118" spans="1:4"/>
    <x:row r="119" spans="1:4"/>
    <x:row r="120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24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24</vt:i4>
      </vt:variant>
    </vt:vector>
  </ap:HeadingPairs>
  <ap:TitlesOfParts>
    <vt:vector baseType="lpstr" size="35">
      <vt:lpstr>4</vt:lpstr>
      <vt:lpstr>5</vt:lpstr>
      <vt:lpstr>7</vt:lpstr>
      <vt:lpstr>8</vt:lpstr>
      <vt:lpstr>9</vt:lpstr>
      <vt:lpstr>11</vt:lpstr>
      <vt:lpstr>13</vt:lpstr>
      <vt:lpstr>14</vt:lpstr>
      <vt:lpstr>18</vt:lpstr>
      <vt:lpstr>ЦУ</vt:lpstr>
      <vt:lpstr>Sheet1</vt:lpstr>
      <vt:lpstr>4!Print_Area</vt:lpstr>
      <vt:lpstr>4!Print_Titles</vt:lpstr>
      <vt:lpstr>5!Print_Area</vt:lpstr>
      <vt:lpstr>5!Print_Titles</vt:lpstr>
      <vt:lpstr>7!Print_Area</vt:lpstr>
      <vt:lpstr>7!Print_Titles</vt:lpstr>
      <vt:lpstr>8!Print_Area</vt:lpstr>
      <vt:lpstr>8!Print_Titles</vt:lpstr>
      <vt:lpstr>9!Print_Area</vt:lpstr>
      <vt:lpstr>9!Print_Titles</vt:lpstr>
      <vt:lpstr>11!Print_Area</vt:lpstr>
      <vt:lpstr>11!Print_Titles</vt:lpstr>
      <vt:lpstr>13!Print_Area</vt:lpstr>
      <vt:lpstr>13!Print_Titles</vt:lpstr>
      <vt:lpstr>14!Print_Area</vt:lpstr>
      <vt:lpstr>14!Print_Titles</vt:lpstr>
      <vt:lpstr>18!_xlnm._FilterDatabase</vt:lpstr>
      <vt:lpstr>18!Print_Area</vt:lpstr>
      <vt:lpstr>18!Print_Titles</vt:lpstr>
      <vt:lpstr>ЦУ!_xlnm._FilterDatabase</vt:lpstr>
      <vt:lpstr>ЦУ!Print_Area</vt:lpstr>
      <vt:lpstr>ЦУ!Print_Titles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dc:description/>
  <lastModifiedBy>adm29</lastModifiedBy>
  <revision>16</revision>
  <dcterms:created xsi:type="dcterms:W3CDTF">2021-10-28T11:36:53.0000000Z</dcterms:created>
  <dcterms:modified xsi:type="dcterms:W3CDTF">2021-10-29T14:09:28.4592343Z</dcterms:modified>
  <dc:language>en-US</dc:language>
</coreProperties>
</file>

<file path=docProps/custom3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